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isez-moi" sheetId="1" state="visible" r:id="rId1"/>
    <sheet xmlns:r="http://schemas.openxmlformats.org/officeDocument/2006/relationships" name="Paramètres" sheetId="2" state="visible" r:id="rId2"/>
    <sheet xmlns:r="http://schemas.openxmlformats.org/officeDocument/2006/relationships" name="Commerciaux" sheetId="3" state="visible" r:id="rId3"/>
    <sheet xmlns:r="http://schemas.openxmlformats.org/officeDocument/2006/relationships" name="Produits" sheetId="4" state="visible" r:id="rId4"/>
    <sheet xmlns:r="http://schemas.openxmlformats.org/officeDocument/2006/relationships" name="Entreprises" sheetId="5" state="visible" r:id="rId5"/>
    <sheet xmlns:r="http://schemas.openxmlformats.org/officeDocument/2006/relationships" name="Contacts" sheetId="6" state="visible" r:id="rId6"/>
    <sheet xmlns:r="http://schemas.openxmlformats.org/officeDocument/2006/relationships" name="Transactions" sheetId="7" state="visible" r:id="rId7"/>
    <sheet xmlns:r="http://schemas.openxmlformats.org/officeDocument/2006/relationships" name="Activités" sheetId="8" state="visible" r:id="rId8"/>
    <sheet xmlns:r="http://schemas.openxmlformats.org/officeDocument/2006/relationships" name="Rendez-vous" sheetId="9" state="visible" r:id="rId9"/>
    <sheet xmlns:r="http://schemas.openxmlformats.org/officeDocument/2006/relationships" name="Tickets" sheetId="10" state="visible" r:id="rId10"/>
    <sheet xmlns:r="http://schemas.openxmlformats.org/officeDocument/2006/relationships" name="Commandes" sheetId="11" state="visible" r:id="rId11"/>
  </sheets>
  <definedNames>
    <definedName name="DateExport" hidden="0" function="0" vbProcedure="0">Paramètres!$B$3</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d/mm/yyyy"/>
    <numFmt numFmtId="165" formatCode="#,##0&quot; €&quot;"/>
    <numFmt numFmtId="166" formatCode="hh:mm"/>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sz val="10"/>
    </font>
    <font>
      <name val="Arial"/>
      <charset val="1"/>
      <family val="0"/>
      <b val="1"/>
      <color rgb="FFFFFFFF"/>
      <sz val="11"/>
    </font>
    <font>
      <name val="Arial"/>
      <charset val="1"/>
      <family val="0"/>
      <b val="1"/>
      <sz val="10"/>
    </font>
    <font>
      <name val="Arial"/>
      <charset val="1"/>
      <family val="0"/>
      <sz val="10"/>
    </font>
    <font>
      <name val="Arial"/>
      <charset val="1"/>
      <family val="0"/>
      <b val="1"/>
      <color rgb="FFFFFFFF"/>
      <sz val="10"/>
    </font>
    <font>
      <name val="Arial"/>
      <charset val="1"/>
      <family val="0"/>
      <b val="1"/>
      <sz val="12"/>
    </font>
    <font>
      <name val="Arial"/>
      <charset val="1"/>
      <family val="0"/>
      <color rgb="FF0000FF"/>
      <sz val="10"/>
    </font>
    <font>
      <name val="Arial"/>
      <charset val="1"/>
      <family val="0"/>
      <i val="1"/>
      <sz val="9"/>
    </font>
    <font>
      <name val="Arial"/>
      <charset val="1"/>
      <family val="0"/>
      <color rgb="FF0563C1"/>
      <sz val="10"/>
      <u val="single"/>
    </font>
  </fonts>
  <fills count="5">
    <fill>
      <patternFill/>
    </fill>
    <fill>
      <patternFill patternType="gray125"/>
    </fill>
    <fill>
      <patternFill patternType="solid">
        <fgColor rgb="FF1F3864"/>
        <bgColor rgb="FF333333"/>
      </patternFill>
    </fill>
    <fill>
      <patternFill patternType="solid">
        <fgColor rgb="FF5F6B7A"/>
        <bgColor rgb="FF808080"/>
      </patternFill>
    </fill>
    <fill>
      <patternFill patternType="solid">
        <fgColor rgb="FFC55A11"/>
        <bgColor rgb="FF993300"/>
      </patternFill>
    </fill>
  </fills>
  <borders count="2">
    <border>
      <left/>
      <right/>
      <top/>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0" borderId="0" applyAlignment="1" pivotButton="0" quotePrefix="0" xfId="0">
      <alignment horizontal="general" vertical="bottom"/>
    </xf>
    <xf numFmtId="164" fontId="8" fillId="0" borderId="0" applyAlignment="1" pivotButton="0" quotePrefix="0" xfId="0">
      <alignment horizontal="left" vertical="bottom"/>
    </xf>
    <xf numFmtId="0" fontId="7" fillId="0" borderId="1" applyAlignment="1" pivotButton="0" quotePrefix="0" xfId="0">
      <alignment horizontal="general" vertical="bottom"/>
    </xf>
    <xf numFmtId="0" fontId="7" fillId="0" borderId="0" applyAlignment="1" pivotButton="0" quotePrefix="0" xfId="0">
      <alignment horizontal="general" vertical="top"/>
    </xf>
    <xf numFmtId="0" fontId="8" fillId="0" borderId="0" applyAlignment="1" pivotButton="0" quotePrefix="0" xfId="0">
      <alignment horizontal="general" vertical="top" wrapText="1"/>
    </xf>
    <xf numFmtId="0" fontId="8" fillId="0" borderId="0" applyAlignment="1" pivotButton="0" quotePrefix="0" xfId="0">
      <alignment horizontal="center" vertical="top"/>
    </xf>
    <xf numFmtId="0" fontId="9" fillId="2" borderId="0" applyAlignment="1" pivotButton="0" quotePrefix="0" xfId="0">
      <alignment horizontal="general" vertical="bottom"/>
    </xf>
    <xf numFmtId="0" fontId="8" fillId="0" borderId="0" applyAlignment="1" pivotButton="0" quotePrefix="0" xfId="0">
      <alignment horizontal="general" vertical="bottom"/>
    </xf>
    <xf numFmtId="0" fontId="9" fillId="3" borderId="0" applyAlignment="1" pivotButton="0" quotePrefix="0" xfId="0">
      <alignment horizontal="general" vertical="bottom"/>
    </xf>
    <xf numFmtId="0" fontId="9" fillId="4" borderId="0" applyAlignment="1" pivotButton="0" quotePrefix="0" xfId="0">
      <alignment horizontal="general" vertical="bottom"/>
    </xf>
    <xf numFmtId="0" fontId="10" fillId="0" borderId="0" applyAlignment="1" pivotButton="0" quotePrefix="0" xfId="0">
      <alignment horizontal="general" vertical="bottom"/>
    </xf>
    <xf numFmtId="164" fontId="11" fillId="0" borderId="0" applyAlignment="1" pivotButton="0" quotePrefix="0" xfId="0">
      <alignment horizontal="general" vertical="bottom"/>
    </xf>
    <xf numFmtId="0" fontId="12" fillId="0" borderId="0" applyAlignment="1" pivotButton="0" quotePrefix="0" xfId="0">
      <alignment horizontal="general" vertical="bottom"/>
    </xf>
    <xf numFmtId="0" fontId="9" fillId="2" borderId="0" applyAlignment="1" pivotButton="0" quotePrefix="0" xfId="0">
      <alignment horizontal="general" vertical="center" wrapText="1"/>
    </xf>
    <xf numFmtId="0" fontId="8" fillId="0" borderId="0" applyAlignment="1" pivotButton="0" quotePrefix="0" xfId="0">
      <alignment horizontal="general" vertical="bottom"/>
    </xf>
    <xf numFmtId="9" fontId="11" fillId="0" borderId="0" applyAlignment="1" pivotButton="0" quotePrefix="0" xfId="0">
      <alignment horizontal="general" vertical="bottom"/>
    </xf>
    <xf numFmtId="0" fontId="9" fillId="2" borderId="1" applyAlignment="1" pivotButton="0" quotePrefix="0" xfId="0">
      <alignment horizontal="center" vertical="center" wrapText="1"/>
    </xf>
    <xf numFmtId="0" fontId="9" fillId="3" borderId="1" applyAlignment="1" pivotButton="0" quotePrefix="0" xfId="0">
      <alignment horizontal="center" vertical="center" wrapText="1"/>
    </xf>
    <xf numFmtId="0" fontId="8" fillId="0" borderId="0" applyAlignment="1" pivotButton="0" quotePrefix="0" xfId="0">
      <alignment horizontal="general" vertical="top"/>
    </xf>
    <xf numFmtId="164" fontId="8" fillId="0" borderId="0" applyAlignment="1" pivotButton="0" quotePrefix="0" xfId="0">
      <alignment horizontal="general" vertical="top"/>
    </xf>
    <xf numFmtId="165" fontId="8" fillId="0" borderId="0" applyAlignment="1" pivotButton="0" quotePrefix="0" xfId="0">
      <alignment horizontal="general" vertical="top"/>
    </xf>
    <xf numFmtId="1" fontId="8" fillId="0" borderId="0" applyAlignment="1" pivotButton="0" quotePrefix="0" xfId="0">
      <alignment horizontal="general" vertical="top"/>
    </xf>
    <xf numFmtId="0" fontId="13" fillId="0" borderId="0" applyAlignment="1" pivotButton="0" quotePrefix="0" xfId="0">
      <alignment horizontal="general" vertical="top"/>
    </xf>
    <xf numFmtId="9" fontId="8" fillId="0" borderId="0" applyAlignment="1" pivotButton="0" quotePrefix="0" xfId="0">
      <alignment horizontal="general" vertical="top"/>
    </xf>
    <xf numFmtId="0" fontId="9" fillId="4" borderId="1" applyAlignment="1" pivotButton="0" quotePrefix="0" xfId="0">
      <alignment horizontal="center" vertical="center" wrapText="1"/>
    </xf>
    <xf numFmtId="166" fontId="8" fillId="0" borderId="0"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0" borderId="0" applyAlignment="1" pivotButton="0" quotePrefix="0" xfId="0">
      <alignment horizontal="general" vertical="bottom"/>
    </xf>
    <xf numFmtId="164" fontId="8" fillId="0" borderId="0" applyAlignment="1" pivotButton="0" quotePrefix="0" xfId="0">
      <alignment horizontal="left" vertical="bottom"/>
    </xf>
    <xf numFmtId="0" fontId="7" fillId="0" borderId="1" applyAlignment="1" pivotButton="0" quotePrefix="0" xfId="0">
      <alignment horizontal="general" vertical="bottom"/>
    </xf>
    <xf numFmtId="0" fontId="7" fillId="0" borderId="0" applyAlignment="1" pivotButton="0" quotePrefix="0" xfId="0">
      <alignment horizontal="general" vertical="top"/>
    </xf>
    <xf numFmtId="0" fontId="8" fillId="0" borderId="0" applyAlignment="1" pivotButton="0" quotePrefix="0" xfId="0">
      <alignment horizontal="center" vertical="top"/>
    </xf>
    <xf numFmtId="0" fontId="9" fillId="2" borderId="0" applyAlignment="1" pivotButton="0" quotePrefix="0" xfId="0">
      <alignment horizontal="general" vertical="bottom"/>
    </xf>
    <xf numFmtId="0" fontId="8" fillId="0" borderId="0" applyAlignment="1" pivotButton="0" quotePrefix="0" xfId="0">
      <alignment horizontal="general" vertical="bottom"/>
    </xf>
    <xf numFmtId="0" fontId="9" fillId="3" borderId="0" applyAlignment="1" pivotButton="0" quotePrefix="0" xfId="0">
      <alignment horizontal="general" vertical="bottom"/>
    </xf>
    <xf numFmtId="0" fontId="9" fillId="4" borderId="0" applyAlignment="1" pivotButton="0" quotePrefix="0" xfId="0">
      <alignment horizontal="general" vertical="bottom"/>
    </xf>
    <xf numFmtId="0" fontId="10" fillId="0" borderId="0" applyAlignment="1" pivotButton="0" quotePrefix="0" xfId="0">
      <alignment horizontal="general" vertical="bottom"/>
    </xf>
    <xf numFmtId="164" fontId="11" fillId="0" borderId="0" applyAlignment="1" pivotButton="0" quotePrefix="0" xfId="0">
      <alignment horizontal="general" vertical="bottom"/>
    </xf>
    <xf numFmtId="0" fontId="12" fillId="0" borderId="0" applyAlignment="1" pivotButton="0" quotePrefix="0" xfId="0">
      <alignment horizontal="general" vertical="bottom"/>
    </xf>
    <xf numFmtId="0" fontId="9" fillId="2" borderId="0" applyAlignment="1" pivotButton="0" quotePrefix="0" xfId="0">
      <alignment horizontal="general" vertical="center" wrapText="1"/>
    </xf>
    <xf numFmtId="9" fontId="11" fillId="0" borderId="0" applyAlignment="1" pivotButton="0" quotePrefix="0" xfId="0">
      <alignment horizontal="general" vertical="bottom"/>
    </xf>
    <xf numFmtId="0" fontId="9" fillId="2" borderId="1" applyAlignment="1" pivotButton="0" quotePrefix="0" xfId="0">
      <alignment horizontal="center" vertical="center" wrapText="1"/>
    </xf>
    <xf numFmtId="0" fontId="9" fillId="3" borderId="1" applyAlignment="1" pivotButton="0" quotePrefix="0" xfId="0">
      <alignment horizontal="center" vertical="center" wrapText="1"/>
    </xf>
    <xf numFmtId="0" fontId="8" fillId="0" borderId="0" applyAlignment="1" pivotButton="0" quotePrefix="0" xfId="0">
      <alignment horizontal="general" vertical="top"/>
    </xf>
    <xf numFmtId="164" fontId="8" fillId="0" borderId="0" applyAlignment="1" pivotButton="0" quotePrefix="0" xfId="0">
      <alignment horizontal="general" vertical="top"/>
    </xf>
    <xf numFmtId="165" fontId="8" fillId="0" borderId="0" applyAlignment="1" pivotButton="0" quotePrefix="0" xfId="0">
      <alignment horizontal="general" vertical="top"/>
    </xf>
    <xf numFmtId="1" fontId="8" fillId="0" borderId="0" applyAlignment="1" pivotButton="0" quotePrefix="0" xfId="0">
      <alignment horizontal="general" vertical="top"/>
    </xf>
    <xf numFmtId="0" fontId="13" fillId="0" borderId="0" applyAlignment="1" pivotButton="0" quotePrefix="0" xfId="0">
      <alignment horizontal="general" vertical="top"/>
    </xf>
    <xf numFmtId="9" fontId="8" fillId="0" borderId="0" applyAlignment="1" pivotButton="0" quotePrefix="0" xfId="0">
      <alignment horizontal="general" vertical="top"/>
    </xf>
    <xf numFmtId="0" fontId="9" fillId="4" borderId="1" applyAlignment="1" pivotButton="0" quotePrefix="0" xfId="0">
      <alignment horizontal="center" vertical="center" wrapText="1"/>
    </xf>
    <xf numFmtId="166" fontId="8" fillId="0" borderId="0"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5F6B7A"/>
          <bgColor rgb="FF000000"/>
        </patternFill>
      </fill>
    </dxf>
    <dxf>
      <fill>
        <patternFill patternType="solid">
          <fgColor rgb="FF0563C1"/>
          <bgColor rgb="FF000000"/>
        </patternFill>
      </fill>
    </dxf>
    <dxf>
      <fill>
        <patternFill patternType="solid">
          <fgColor rgb="FFC55A1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55A11"/>
      <rgbColor rgb="FF5F6B7A"/>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tbl_Commerciaux" displayName="tbl_Commerciaux" ref="A1:P8" headerRowCount="1" totalsRowCount="0" totalsRowShown="0">
  <autoFilter ref="A1:P8"/>
  <tableColumns count="16">
    <tableColumn id="1" name="ID commercial"/>
    <tableColumn id="2" name="Prénom"/>
    <tableColumn id="3" name="Nom"/>
    <tableColumn id="4" name="Nom complet"/>
    <tableColumn id="5" name="E-mail"/>
    <tableColumn id="6" name="Téléphone mobile"/>
    <tableColumn id="7" name="Profil métier"/>
    <tableColumn id="8" name="Équipe"/>
    <tableColumn id="9" name="Territoire"/>
    <tableColumn id="10" name="Manager"/>
    <tableColumn id="11" name="Date d'arrivée"/>
    <tableColumn id="12" name="Objectif CA annuel (€)"/>
    <tableColumn id="13" name="Comptes en portefeuille"/>
    <tableColumn id="14" name="CA 12 derniers mois du portefeuille (€)"/>
    <tableColumn id="15" name="Pipeline pondéré ouvert (€)"/>
    <tableColumn id="16" name="Rendez-vous à venir"/>
  </tableColumns>
</table>
</file>

<file path=xl/tables/table2.xml><?xml version="1.0" encoding="utf-8"?>
<table xmlns="http://schemas.openxmlformats.org/spreadsheetml/2006/main" id="2" name="tbl_Produits" displayName="tbl_Produits" ref="A1:I15" headerRowCount="1" totalsRowCount="0" totalsRowShown="0">
  <autoFilter ref="A1:I15"/>
  <tableColumns count="9">
    <tableColumn id="1" name="ID produit"/>
    <tableColumn id="2" name="Référence"/>
    <tableColumn id="3" name="Nom du produit"/>
    <tableColumn id="4" name="Famille"/>
    <tableColumn id="5" name="Description"/>
    <tableColumn id="6" name="Unité de vente"/>
    <tableColumn id="7" name="Prix unitaire HT (€)"/>
    <tableColumn id="8" name="Marchés cibles"/>
    <tableColumn id="9" name="Actif"/>
  </tableColumns>
</table>
</file>

<file path=xl/tables/table3.xml><?xml version="1.0" encoding="utf-8"?>
<table xmlns="http://schemas.openxmlformats.org/spreadsheetml/2006/main" id="3" name="tbl_Entreprises" displayName="tbl_Entreprises" ref="A1:AJ31" headerRowCount="1" totalsRowCount="0" totalsRowShown="0">
  <autoFilter ref="A1:AJ31"/>
  <tableColumns count="36">
    <tableColumn id="1" name="ID entreprise"/>
    <tableColumn id="2" name="Nom de l'entreprise"/>
    <tableColumn id="3" name="Domaine du site web"/>
    <tableColumn id="4" name="Site web"/>
    <tableColumn id="5" name="Description de l'activité"/>
    <tableColumn id="6" name="Secteur d'activité"/>
    <tableColumn id="7" name="Sous-secteur"/>
    <tableColumn id="8" name="Segment"/>
    <tableColumn id="9" name="Tranche d'effectif"/>
    <tableColumn id="10" name="Chiffre d'affaires annuel (tranche)"/>
    <tableColumn id="11" name="Adresse"/>
    <tableColumn id="12" name="Code postal"/>
    <tableColumn id="13" name="Ville"/>
    <tableColumn id="14" name="Région"/>
    <tableColumn id="15" name="Pays"/>
    <tableColumn id="16" name="Groupe / société mère"/>
    <tableColumn id="17" name="Cotée en bourse"/>
    <tableColumn id="18" name="Code bourse (Yahoo Finance)"/>
    <tableColumn id="19" name="ID propriétaire"/>
    <tableColumn id="20" name="Propriétaire du compte"/>
    <tableColumn id="21" name="Phase du cycle de vie"/>
    <tableColumn id="22" name="Statut du compte"/>
    <tableColumn id="23" name="Date de création"/>
    <tableColumn id="24" name="Client depuis"/>
    <tableColumn id="25" name="Source d'origine"/>
    <tableColumn id="26" name="Potentiel annuel estimé (€)"/>
    <tableColumn id="27" name="CA 12 derniers mois (€)"/>
    <tableColumn id="28" name="Transactions ouvertes"/>
    <tableColumn id="29" name="Pipeline ouvert (€)"/>
    <tableColumn id="30" name="Tickets ouverts"/>
    <tableColumn id="31" name="Date de dernière activité"/>
    <tableColumn id="32" name="Prochain rendez-vous"/>
    <tableColumn id="33" name="Concurrent principal"/>
    <tableColumn id="34" name="Conditions de paiement"/>
    <tableColumn id="35" name="Contexte client"/>
    <tableColumn id="36" name="Enjeux et projets en cours"/>
  </tableColumns>
</table>
</file>

<file path=xl/tables/table4.xml><?xml version="1.0" encoding="utf-8"?>
<table xmlns="http://schemas.openxmlformats.org/spreadsheetml/2006/main" id="4" name="tbl_Contacts" displayName="tbl_Contacts" ref="A1:Z51" headerRowCount="1" totalsRowCount="0" totalsRowShown="0">
  <autoFilter ref="A1:Z51"/>
  <tableColumns count="26">
    <tableColumn id="1" name="ID contact"/>
    <tableColumn id="2" name="Civilité"/>
    <tableColumn id="3" name="Prénom"/>
    <tableColumn id="4" name="Nom"/>
    <tableColumn id="5" name="Nom complet"/>
    <tableColumn id="6" name="E-mail"/>
    <tableColumn id="7" name="Téléphone fixe"/>
    <tableColumn id="8" name="Téléphone mobile"/>
    <tableColumn id="9" name="Intitulé du poste"/>
    <tableColumn id="10" name="Service"/>
    <tableColumn id="11" name="Niveau de décision"/>
    <tableColumn id="12" name="Contact clé"/>
    <tableColumn id="13" name="ID entreprise"/>
    <tableColumn id="14" name="Entreprise"/>
    <tableColumn id="15" name="ID propriétaire"/>
    <tableColumn id="16" name="Propriétaire du contact"/>
    <tableColumn id="17" name="Phase du cycle de vie"/>
    <tableColumn id="18" name="Statut du lead"/>
    <tableColumn id="19" name="Source d'origine"/>
    <tableColumn id="20" name="Canal préféré"/>
    <tableColumn id="21" name="Langue"/>
    <tableColumn id="22" name="Date de création"/>
    <tableColumn id="23" name="Date du dernier contact"/>
    <tableColumn id="24" name="Interactions 12 derniers mois"/>
    <tableColumn id="25" name="Consentement e-mail marketing"/>
    <tableColumn id="26" name="Notes"/>
  </tableColumns>
</table>
</file>

<file path=xl/tables/table5.xml><?xml version="1.0" encoding="utf-8"?>
<table xmlns="http://schemas.openxmlformats.org/spreadsheetml/2006/main" id="5" name="tbl_Transactions" displayName="tbl_Transactions" ref="A1:W51" headerRowCount="1" totalsRowCount="0" totalsRowShown="0">
  <autoFilter ref="A1:W51"/>
  <tableColumns count="23">
    <tableColumn id="1" name="ID transaction"/>
    <tableColumn id="2" name="Nom de la transaction"/>
    <tableColumn id="3" name="ID entreprise"/>
    <tableColumn id="4" name="Entreprise"/>
    <tableColumn id="5" name="ID contact principal"/>
    <tableColumn id="6" name="Contact principal"/>
    <tableColumn id="7" name="ID propriétaire"/>
    <tableColumn id="8" name="Propriétaire"/>
    <tableColumn id="9" name="Pipeline"/>
    <tableColumn id="10" name="Phase de la transaction"/>
    <tableColumn id="11" name="Probabilité"/>
    <tableColumn id="12" name="Montant (€)"/>
    <tableColumn id="13" name="Montant pondéré (€)"/>
    <tableColumn id="14" name="Statut"/>
    <tableColumn id="15" name="Type de transaction"/>
    <tableColumn id="16" name="ID produit principal"/>
    <tableColumn id="17" name="Produit principal"/>
    <tableColumn id="18" name="Date de création"/>
    <tableColumn id="19" name="Date de clôture prévue"/>
    <tableColumn id="20" name="Date de clôture effective"/>
    <tableColumn id="21" name="Prochaine étape"/>
    <tableColumn id="22" name="Concurrent en lice"/>
    <tableColumn id="23" name="Motif de perte"/>
  </tableColumns>
</table>
</file>

<file path=xl/tables/table6.xml><?xml version="1.0" encoding="utf-8"?>
<table xmlns="http://schemas.openxmlformats.org/spreadsheetml/2006/main" id="6" name="tbl_Activites" displayName="tbl_Activites" ref="A1:Q255" headerRowCount="1" totalsRowCount="0" totalsRowShown="0">
  <autoFilter ref="A1:Q255"/>
  <tableColumns count="17">
    <tableColumn id="1" name="ID activité"/>
    <tableColumn id="2" name="Date"/>
    <tableColumn id="3" name="Type d'activité"/>
    <tableColumn id="4" name="ID entreprise"/>
    <tableColumn id="5" name="Entreprise"/>
    <tableColumn id="6" name="ID contact"/>
    <tableColumn id="7" name="Contact"/>
    <tableColumn id="8" name="ID commercial"/>
    <tableColumn id="9" name="Commercial"/>
    <tableColumn id="10" name="Objet"/>
    <tableColumn id="11" name="Compte rendu / contenu"/>
    <tableColumn id="12" name="Résultat"/>
    <tableColumn id="13" name="ID transaction associée"/>
    <tableColumn id="14" name="Prochaine action"/>
    <tableColumn id="15" name="Échéance prochaine action"/>
    <tableColumn id="16" name="Durée (min)"/>
    <tableColumn id="17" name="Autres participants client"/>
  </tableColumns>
</table>
</file>

<file path=xl/tables/table7.xml><?xml version="1.0" encoding="utf-8"?>
<table xmlns="http://schemas.openxmlformats.org/spreadsheetml/2006/main" id="7" name="tbl_RendezVous" displayName="tbl_RendezVous" ref="A1:R40" headerRowCount="1" totalsRowCount="0" totalsRowShown="0">
  <autoFilter ref="A1:R40"/>
  <tableColumns count="18">
    <tableColumn id="1" name="ID rendez-vous"/>
    <tableColumn id="2" name="Date"/>
    <tableColumn id="3" name="Heure de début"/>
    <tableColumn id="4" name="Heure de fin"/>
    <tableColumn id="5" name="Type de rendez-vous"/>
    <tableColumn id="6" name="ID entreprise"/>
    <tableColumn id="7" name="Entreprise"/>
    <tableColumn id="8" name="ID contact"/>
    <tableColumn id="9" name="Contact"/>
    <tableColumn id="10" name="Fonction du contact"/>
    <tableColumn id="11" name="ID commercial"/>
    <tableColumn id="12" name="Commercial"/>
    <tableColumn id="13" name="Lieu"/>
    <tableColumn id="14" name="Objet du rendez-vous"/>
    <tableColumn id="15" name="ID transaction associée"/>
    <tableColumn id="16" name="Statut"/>
    <tableColumn id="17" name="Brief préparé"/>
    <tableColumn id="18" name="Compte rendu de visite"/>
  </tableColumns>
</table>
</file>

<file path=xl/tables/table8.xml><?xml version="1.0" encoding="utf-8"?>
<table xmlns="http://schemas.openxmlformats.org/spreadsheetml/2006/main" id="8" name="tbl_Tickets" displayName="tbl_Tickets" ref="A1:N19" headerRowCount="1" totalsRowCount="0" totalsRowShown="0">
  <autoFilter ref="A1:N19"/>
  <tableColumns count="14">
    <tableColumn id="1" name="ID ticket"/>
    <tableColumn id="2" name="Objet"/>
    <tableColumn id="3" name="ID entreprise"/>
    <tableColumn id="4" name="Entreprise"/>
    <tableColumn id="5" name="ID contact"/>
    <tableColumn id="6" name="Contact"/>
    <tableColumn id="7" name="Catégorie"/>
    <tableColumn id="8" name="Priorité"/>
    <tableColumn id="9" name="Statut"/>
    <tableColumn id="10" name="Date de création"/>
    <tableColumn id="11" name="Date de clôture"/>
    <tableColumn id="12" name="Délai de résolution (jours)"/>
    <tableColumn id="13" name="Description"/>
    <tableColumn id="14" name="Responsable du ticket"/>
  </tableColumns>
</table>
</file>

<file path=xl/tables/table9.xml><?xml version="1.0" encoding="utf-8"?>
<table xmlns="http://schemas.openxmlformats.org/spreadsheetml/2006/main" id="9" name="tbl_Commandes" displayName="tbl_Commandes" ref="A1:P295" headerRowCount="1" totalsRowCount="0" totalsRowShown="0">
  <autoFilter ref="A1:P295"/>
  <tableColumns count="16">
    <tableColumn id="1" name="ID commande"/>
    <tableColumn id="2" name="N° de commande client"/>
    <tableColumn id="3" name="Date de commande"/>
    <tableColumn id="4" name="ID entreprise"/>
    <tableColumn id="5" name="Entreprise"/>
    <tableColumn id="6" name="ID produit"/>
    <tableColumn id="7" name="Produit"/>
    <tableColumn id="8" name="Quantité"/>
    <tableColumn id="9" name="Prix unitaire HT (€)"/>
    <tableColumn id="10" name="Remise"/>
    <tableColumn id="11" name="Montant HT (€)"/>
    <tableColumn id="12" name="Date de livraison prévue"/>
    <tableColumn id="13" name="Date de livraison effective"/>
    <tableColumn id="14" name="Retard de livraison (jours)"/>
    <tableColumn id="15" name="Statut"/>
    <tableColumn id="16" name="ID commercial"/>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hyperlink" Target="https://www.bonduelle.com/" TargetMode="External" Id="rId1"/><Relationship Type="http://schemas.openxmlformats.org/officeDocument/2006/relationships/hyperlink" Target="https://www.lesaffre.com/" TargetMode="External" Id="rId2"/><Relationship Type="http://schemas.openxmlformats.org/officeDocument/2006/relationships/hyperlink" Target="https://www.guerbet.com/" TargetMode="External" Id="rId3"/><Relationship Type="http://schemas.openxmlformats.org/officeDocument/2006/relationships/hyperlink" Target="https://www.interparfums.fr/" TargetMode="External" Id="rId4"/><Relationship Type="http://schemas.openxmlformats.org/officeDocument/2006/relationships/hyperlink" Target="https://www.clarins.com/" TargetMode="External" Id="rId5"/><Relationship Type="http://schemas.openxmlformats.org/officeDocument/2006/relationships/hyperlink" Target="https://www.imerys.com/" TargetMode="External" Id="rId6"/><Relationship Type="http://schemas.openxmlformats.org/officeDocument/2006/relationships/hyperlink" Target="https://www.nexans.com/" TargetMode="External" Id="rId7"/><Relationship Type="http://schemas.openxmlformats.org/officeDocument/2006/relationships/hyperlink" Target="https://www.moet.com/" TargetMode="External" Id="rId8"/><Relationship Type="http://schemas.openxmlformats.org/officeDocument/2006/relationships/hyperlink" Target="https://www.laurent-perrier.com/" TargetMode="External" Id="rId9"/><Relationship Type="http://schemas.openxmlformats.org/officeDocument/2006/relationships/hyperlink" Target="https://www.vrankenpommery.com/" TargetMode="External" Id="rId10"/><Relationship Type="http://schemas.openxmlformats.org/officeDocument/2006/relationships/hyperlink" Target="https://www.kronenbourg.com/" TargetMode="External" Id="rId11"/><Relationship Type="http://schemas.openxmlformats.org/officeDocument/2006/relationships/hyperlink" Target="https://www.biomerieux.com/" TargetMode="External" Id="rId12"/><Relationship Type="http://schemas.openxmlformats.org/officeDocument/2006/relationships/hyperlink" Target="https://www.boiron.com/" TargetMode="External" Id="rId13"/><Relationship Type="http://schemas.openxmlformats.org/officeDocument/2006/relationships/hyperlink" Target="https://www.groupeseb.com/" TargetMode="External" Id="rId14"/><Relationship Type="http://schemas.openxmlformats.org/officeDocument/2006/relationships/hyperlink" Target="https://www.vicat.com/" TargetMode="External" Id="rId15"/><Relationship Type="http://schemas.openxmlformats.org/officeDocument/2006/relationships/hyperlink" Target="https://www.virbac.com/" TargetMode="External" Id="rId16"/><Relationship Type="http://schemas.openxmlformats.org/officeDocument/2006/relationships/hyperlink" Target="https://www.remy-cointreau.com/" TargetMode="External" Id="rId17"/><Relationship Type="http://schemas.openxmlformats.org/officeDocument/2006/relationships/hyperlink" Target="https://www.maisonferrand.com/" TargetMode="External" Id="rId18"/><Relationship Type="http://schemas.openxmlformats.org/officeDocument/2006/relationships/hyperlink" Target="https://www.pierre-fabre.com/" TargetMode="External" Id="rId19"/><Relationship Type="http://schemas.openxmlformats.org/officeDocument/2006/relationships/hyperlink" Target="https://www.andros.fr/" TargetMode="External" Id="rId20"/><Relationship Type="http://schemas.openxmlformats.org/officeDocument/2006/relationships/hyperlink" Target="https://www.volterra.example/" TargetMode="External" Id="rId21"/><Relationship Type="http://schemas.openxmlformats.org/officeDocument/2006/relationships/hyperlink" Target="https://www.sanofi.com/" TargetMode="External" Id="rId22"/><Relationship Type="http://schemas.openxmlformats.org/officeDocument/2006/relationships/hyperlink" Target="https://www.ipsen.com/" TargetMode="External" Id="rId23"/><Relationship Type="http://schemas.openxmlformats.org/officeDocument/2006/relationships/hyperlink" Target="https://www.servier.com/" TargetMode="External" Id="rId24"/><Relationship Type="http://schemas.openxmlformats.org/officeDocument/2006/relationships/hyperlink" Target="https://www.pernod-ricard.com/" TargetMode="External" Id="rId25"/><Relationship Type="http://schemas.openxmlformats.org/officeDocument/2006/relationships/hyperlink" Target="https://www.danone.com/" TargetMode="External" Id="rId26"/><Relationship Type="http://schemas.openxmlformats.org/officeDocument/2006/relationships/hyperlink" Target="https://www.loreal.com/" TargetMode="External" Id="rId27"/><Relationship Type="http://schemas.openxmlformats.org/officeDocument/2006/relationships/hyperlink" Target="https://www.savencia-fromagedairy.com/" TargetMode="External" Id="rId28"/><Relationship Type="http://schemas.openxmlformats.org/officeDocument/2006/relationships/hyperlink" Target="https://www.saint-gobain.com/" TargetMode="External" Id="rId29"/><Relationship Type="http://schemas.openxmlformats.org/officeDocument/2006/relationships/hyperlink" Target="https://www.se.com/" TargetMode="External" Id="rId30"/><Relationship Type="http://schemas.openxmlformats.org/officeDocument/2006/relationships/table" Target="/xl/tables/table3.xml" Id="rId3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filterMode="0">
    <outlinePr summaryBelow="1" summaryRight="1"/>
    <pageSetUpPr fitToPage="1"/>
  </sheetPr>
  <dimension ref="A1:E3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33" min="1" max="1"/>
    <col width="22" customWidth="1" style="33" min="2" max="2"/>
    <col width="62" customWidth="1" style="33" min="3" max="3"/>
    <col width="12" customWidth="1" style="33" min="4" max="4"/>
    <col width="46" customWidth="1" style="33" min="5" max="5"/>
  </cols>
  <sheetData>
    <row r="1"/>
    <row r="2" ht="19.7" customHeight="1" s="34">
      <c r="B2" s="35" t="inlineStr">
        <is>
          <t>Export CRM - Orvane Solutions (données de démonstration)</t>
        </is>
      </c>
    </row>
    <row r="3" ht="15" customHeight="1" s="34">
      <c r="B3" s="36" t="inlineStr">
        <is>
          <t>Jeu de données pivot commun aux démonstrateurs « Préparation des visites commerciales » (Claude, Gemini, Copilot).</t>
        </is>
      </c>
    </row>
    <row r="4"/>
    <row r="5" ht="15" customHeight="1" s="34">
      <c r="B5" s="37" t="inlineStr">
        <is>
          <t>Contexte</t>
        </is>
      </c>
      <c r="C5" s="38" t="n"/>
      <c r="D5" s="38" t="n"/>
      <c r="E5" s="38" t="n"/>
    </row>
    <row r="6" ht="27.75" customHeight="1" s="34">
      <c r="B6" s="39" t="inlineStr">
        <is>
          <t>Société</t>
        </is>
      </c>
      <c r="C6" s="40" t="inlineStr">
        <is>
          <t>Orvane Solutions, société fictive : fabricant français de solutions d'emballage (étuis, étiquettes, coffrets, caisses) et d'équipements de conditionnement.</t>
        </is>
      </c>
    </row>
    <row r="7" ht="27.75" customHeight="1" s="34">
      <c r="B7" s="39" t="inlineStr">
        <is>
          <t>Format</t>
        </is>
      </c>
      <c r="C7" s="40" t="inlineStr">
        <is>
          <t>Export simulé d'un CRM de type HubSpot ou Salesforce : un onglet par objet, une ligne d'en-tête, des identifiants stables reliant les onglets.</t>
        </is>
      </c>
    </row>
    <row r="8" ht="15" customHeight="1" s="34">
      <c r="B8" s="41" t="inlineStr">
        <is>
          <t>Date de l'export</t>
        </is>
      </c>
      <c r="C8" s="42">
        <f>DateExport</f>
        <v/>
      </c>
    </row>
    <row r="9" ht="27.75" customHeight="1" s="34">
      <c r="B9" s="39" t="inlineStr">
        <is>
          <t>Historique</t>
        </is>
      </c>
      <c r="C9" s="40" t="inlineStr">
        <is>
          <t>Activités depuis janvier 2025, commandes depuis octobre 2024, rendez-vous planifiés jusqu'à mi-novembre 2026.</t>
        </is>
      </c>
    </row>
    <row r="10"/>
    <row r="11" ht="15" customHeight="1" s="34">
      <c r="B11" s="37" t="inlineStr">
        <is>
          <t>Avertissement</t>
        </is>
      </c>
      <c r="C11" s="38" t="n"/>
      <c r="D11" s="38" t="n"/>
      <c r="E11" s="38" t="n"/>
    </row>
    <row r="12" ht="42" customHeight="1" s="34">
      <c r="B12" s="39" t="inlineStr">
        <is>
          <t>Entreprises réelles</t>
        </is>
      </c>
      <c r="C12" s="40" t="inlineStr">
        <is>
          <t>Les 30 entreprises clientes sont réelles. Leurs données publiques (adresse, site web, activité, tranche de chiffre d'affaires, groupe, code bourse) sont issues de sources publiques et vérifiées en octobre 2026, pour que l'agent puisse les enrichir avec leur actualité et leur cours de bourse.</t>
        </is>
      </c>
    </row>
    <row r="13" ht="27.75" customHeight="1" s="34">
      <c r="B13" s="39" t="inlineStr">
        <is>
          <t>Données fictives</t>
        </is>
      </c>
      <c r="C13" s="40" t="inlineStr">
        <is>
          <t>Le fournisseur Orvane Solutions, les contacts, les échanges, les montants, les commandes, les tickets et les rendez-vous sont entièrement inventés : aucune ligne ne reflète une relation commerciale existante.</t>
        </is>
      </c>
    </row>
    <row r="14" ht="27.75" customHeight="1" s="34">
      <c r="B14" s="39" t="inlineStr">
        <is>
          <t>Coordonnées</t>
        </is>
      </c>
      <c r="C14" s="40" t="inlineStr">
        <is>
          <t>Les e-mails utilisent le domaine réservé .example et ne peuvent pas être délivrés. Les numéros de téléphone sont fictifs.</t>
        </is>
      </c>
    </row>
    <row r="15"/>
    <row r="16" ht="15" customHeight="1" s="34">
      <c r="B16" s="37" t="inlineStr">
        <is>
          <t>Modèle de données</t>
        </is>
      </c>
      <c r="C16" s="38" t="n"/>
      <c r="D16" s="38" t="n"/>
      <c r="E16" s="38" t="n"/>
    </row>
    <row r="17" ht="15" customHeight="1" s="34">
      <c r="B17" s="43" t="inlineStr">
        <is>
          <t>Onglet</t>
        </is>
      </c>
      <c r="C17" s="43" t="inlineStr">
        <is>
          <t>Contenu</t>
        </is>
      </c>
      <c r="D17" s="43" t="inlineStr">
        <is>
          <t>Lignes</t>
        </is>
      </c>
      <c r="E17" s="43" t="inlineStr">
        <is>
          <t>Clé et liens</t>
        </is>
      </c>
    </row>
    <row r="18" ht="27.75" customHeight="1" s="34">
      <c r="B18" s="44" t="inlineStr">
        <is>
          <t>Commerciaux</t>
        </is>
      </c>
      <c r="C18" s="40" t="inlineStr">
        <is>
          <t>Équipe commerciale (propriétaires des comptes) et indicateurs de portefeuille.</t>
        </is>
      </c>
      <c r="D18" s="45">
        <f>COUNTA(Commerciaux!$A$2:$A$3000)</f>
        <v/>
      </c>
      <c r="E18" s="40" t="inlineStr">
        <is>
          <t>ID commercial (U...)</t>
        </is>
      </c>
    </row>
    <row r="19" ht="27.75" customHeight="1" s="34">
      <c r="B19" s="44" t="inlineStr">
        <is>
          <t>Entreprises</t>
        </is>
      </c>
      <c r="C19" s="40" t="inlineStr">
        <is>
          <t>Comptes clients, opportunités et prospects, avec contexte et enjeux.</t>
        </is>
      </c>
      <c r="D19" s="45">
        <f>COUNTA(Entreprises!$A$2:$A$3000)</f>
        <v/>
      </c>
      <c r="E19" s="40" t="inlineStr">
        <is>
          <t>ID entreprise (E...) ; ID propriétaire → Commerciaux</t>
        </is>
      </c>
    </row>
    <row r="20" ht="27.75" customHeight="1" s="34">
      <c r="B20" s="44" t="inlineStr">
        <is>
          <t>Contacts</t>
        </is>
      </c>
      <c r="C20" s="40" t="inlineStr">
        <is>
          <t>Interlocuteurs chez les comptes (50 contacts).</t>
        </is>
      </c>
      <c r="D20" s="45">
        <f>COUNTA(Contacts!$A$2:$A$3000)</f>
        <v/>
      </c>
      <c r="E20" s="40" t="inlineStr">
        <is>
          <t>ID contact (C...) ; ID entreprise → Entreprises</t>
        </is>
      </c>
    </row>
    <row r="21" ht="27.75" customHeight="1" s="34">
      <c r="B21" s="44" t="inlineStr">
        <is>
          <t>Transactions</t>
        </is>
      </c>
      <c r="C21" s="40" t="inlineStr">
        <is>
          <t>Opportunités ouvertes, gagnées et perdues du pipeline « Ventes terrain ».</t>
        </is>
      </c>
      <c r="D21" s="45">
        <f>COUNTA(Transactions!$A$2:$A$3000)</f>
        <v/>
      </c>
      <c r="E21" s="40" t="inlineStr">
        <is>
          <t>ID transaction (T...) ; → Entreprises, Contacts, Produits</t>
        </is>
      </c>
    </row>
    <row r="22" ht="27.75" customHeight="1" s="34">
      <c r="B22" s="44" t="inlineStr">
        <is>
          <t>Activités</t>
        </is>
      </c>
      <c r="C22" s="40" t="inlineStr">
        <is>
          <t>Historique des visites, appels, e-mails, visios et notes, avec comptes rendus.</t>
        </is>
      </c>
      <c r="D22" s="45">
        <f>COUNTA(Activités!$A$2:$A$3000)</f>
        <v/>
      </c>
      <c r="E22" s="40" t="inlineStr">
        <is>
          <t>ID activité (A...) ; → Entreprises, Contacts, Transactions</t>
        </is>
      </c>
    </row>
    <row r="23" ht="27.75" customHeight="1" s="34">
      <c r="B23" s="44" t="inlineStr">
        <is>
          <t>Rendez-vous</t>
        </is>
      </c>
      <c r="C23" s="40" t="inlineStr">
        <is>
          <t>Rendez-vous à venir, avec colonnes à compléter par l'assistant.</t>
        </is>
      </c>
      <c r="D23" s="45">
        <f>COUNTA('Rendez-vous'!$A$2:$A$3000)</f>
        <v/>
      </c>
      <c r="E23" s="40" t="inlineStr">
        <is>
          <t>ID rendez-vous (R...) ; → Entreprises, Contacts, Transactions</t>
        </is>
      </c>
    </row>
    <row r="24" ht="13.5" customHeight="1" s="34">
      <c r="B24" s="44" t="inlineStr">
        <is>
          <t>Tickets</t>
        </is>
      </c>
      <c r="C24" s="40" t="inlineStr">
        <is>
          <t>Demandes et réclamations du service client.</t>
        </is>
      </c>
      <c r="D24" s="45">
        <f>COUNTA(Tickets!$A$2:$A$3000)</f>
        <v/>
      </c>
      <c r="E24" s="40" t="inlineStr">
        <is>
          <t>ID ticket (K...) ; → Entreprises, Contacts</t>
        </is>
      </c>
    </row>
    <row r="25" ht="27.75" customHeight="1" s="34">
      <c r="B25" s="44" t="inlineStr">
        <is>
          <t>Commandes</t>
        </is>
      </c>
      <c r="C25" s="40" t="inlineStr">
        <is>
          <t>Historique des commandes et des livraisons.</t>
        </is>
      </c>
      <c r="D25" s="45">
        <f>COUNTA(Commandes!$A$2:$A$3000)</f>
        <v/>
      </c>
      <c r="E25" s="40" t="inlineStr">
        <is>
          <t>ID commande (CMD-...) ; → Entreprises, Produits</t>
        </is>
      </c>
    </row>
    <row r="26" ht="13.5" customHeight="1" s="34">
      <c r="B26" s="44" t="inlineStr">
        <is>
          <t>Produits</t>
        </is>
      </c>
      <c r="C26" s="40" t="inlineStr">
        <is>
          <t>Catalogue et prix de vente.</t>
        </is>
      </c>
      <c r="D26" s="45">
        <f>COUNTA(Produits!$A$2:$A$3000)</f>
        <v/>
      </c>
      <c r="E26" s="40" t="inlineStr">
        <is>
          <t>ID produit (P...)</t>
        </is>
      </c>
    </row>
    <row r="27" ht="27.75" customHeight="1" s="34">
      <c r="B27" s="44" t="inlineStr">
        <is>
          <t>Paramètres</t>
        </is>
      </c>
      <c r="C27" s="40" t="inlineStr">
        <is>
          <t>Date de l'export et listes de valeurs (phases, statuts, types).</t>
        </is>
      </c>
      <c r="E27" s="40" t="inlineStr">
        <is>
          <t>Champ nommé DateExport</t>
        </is>
      </c>
    </row>
    <row r="28"/>
    <row r="29" ht="15" customHeight="1" s="34">
      <c r="B29" s="37" t="inlineStr">
        <is>
          <t>Lecture des en-têtes</t>
        </is>
      </c>
      <c r="C29" s="38" t="n"/>
      <c r="D29" s="38" t="n"/>
      <c r="E29" s="38" t="n"/>
    </row>
    <row r="30" ht="15" customHeight="1" s="34">
      <c r="B30" s="46" t="inlineStr">
        <is>
          <t>Bleu foncé</t>
        </is>
      </c>
      <c r="C30" s="47" t="inlineStr">
        <is>
          <t>Donnée saisie dans le CRM.</t>
        </is>
      </c>
    </row>
    <row r="31" ht="15" customHeight="1" s="34">
      <c r="B31" s="48" t="inlineStr">
        <is>
          <t>Gris</t>
        </is>
      </c>
      <c r="C31" s="47" t="inlineStr">
        <is>
          <t>Colonne calculée par formule (ne pas saisir).</t>
        </is>
      </c>
    </row>
    <row r="32" ht="15" customHeight="1" s="34">
      <c r="B32" s="49" t="inlineStr">
        <is>
          <t>Orange</t>
        </is>
      </c>
      <c r="C32" s="47" t="inlineStr">
        <is>
          <t>Colonne à compléter par l'assistant (brief préparé, compte rendu).</t>
        </is>
      </c>
    </row>
    <row r="33"/>
    <row r="34" ht="15" customHeight="1" s="34">
      <c r="B34" s="37" t="inlineStr">
        <is>
          <t>Scénario de démonstration</t>
        </is>
      </c>
      <c r="C34" s="38" t="n"/>
      <c r="D34" s="38" t="n"/>
      <c r="E34" s="38" t="n"/>
    </row>
    <row r="35" ht="13.5" customHeight="1" s="34">
      <c r="B35" s="39" t="inlineStr">
        <is>
          <t>Commercial</t>
        </is>
      </c>
      <c r="C35" s="40" t="inlineStr">
        <is>
          <t>Julien Morel (U002), commercial terrain Hauts-de-France et Île-de-France.</t>
        </is>
      </c>
    </row>
    <row r="36" ht="27.75" customHeight="1" s="34">
      <c r="B36" s="39" t="inlineStr">
        <is>
          <t>Lundi 12/10/2026</t>
        </is>
      </c>
      <c r="C36" s="40" t="inlineStr">
        <is>
          <t>Trois rendez-vous : R001 Bonduelle (9h30, sur site), R002 Lesaffre (14h00, sur site), R003 Guerbet (17h00, visio).</t>
        </is>
      </c>
    </row>
    <row r="37" ht="27.75" customHeight="1" s="34">
      <c r="B37" s="39" t="inlineStr">
        <is>
          <t>Après la visite</t>
        </is>
      </c>
      <c r="C37" s="40" t="inlineStr">
        <is>
          <t>Le compte rendu validé par le commercial peut être saisi dans Rendez-vous (colonne Compte rendu de visite) et ajouté comme nouvelle ligne de type « Visite terrain » dans Activités.</t>
        </is>
      </c>
    </row>
  </sheetData>
  <mergeCells count="12">
    <mergeCell ref="C36:E36"/>
    <mergeCell ref="C14:E14"/>
    <mergeCell ref="C13:E13"/>
    <mergeCell ref="C37:E37"/>
    <mergeCell ref="C31:E31"/>
    <mergeCell ref="C9:E9"/>
    <mergeCell ref="C6:E6"/>
    <mergeCell ref="C35:E35"/>
    <mergeCell ref="C30:E30"/>
    <mergeCell ref="C7:E7"/>
    <mergeCell ref="C12:E12"/>
    <mergeCell ref="C32:E3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Z13"/>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3" min="1" max="1"/>
    <col width="14" customWidth="1" style="33" min="2" max="3"/>
    <col width="24" customWidth="1" style="33" min="5" max="26"/>
  </cols>
  <sheetData>
    <row r="1" ht="15" customHeight="1" s="34">
      <c r="A1" s="50" t="inlineStr">
        <is>
          <t>Paramètres et listes de référence</t>
        </is>
      </c>
    </row>
    <row r="2"/>
    <row r="3" ht="15" customHeight="1" s="34">
      <c r="A3" s="41" t="inlineStr">
        <is>
          <t>Date de l'export</t>
        </is>
      </c>
      <c r="B3" s="51" t="n">
        <v>46304</v>
      </c>
      <c r="C3" s="52" t="inlineStr">
        <is>
          <t>Date de référence de toutes les formules (champ nommé DateExport). La modifier recalcule les indicateurs.</t>
        </is>
      </c>
    </row>
    <row r="4"/>
    <row r="5"/>
    <row r="6" ht="30" customHeight="1" s="34">
      <c r="A6" s="46" t="inlineStr">
        <is>
          <t>Phase de la transaction</t>
        </is>
      </c>
      <c r="B6" s="46" t="inlineStr">
        <is>
          <t>Probabilité</t>
        </is>
      </c>
      <c r="C6" s="46" t="inlineStr">
        <is>
          <t>Statut</t>
        </is>
      </c>
      <c r="E6" s="53" t="inlineStr">
        <is>
          <t>Secteur d'activité</t>
        </is>
      </c>
      <c r="F6" s="53" t="inlineStr">
        <is>
          <t>Segment</t>
        </is>
      </c>
      <c r="G6" s="53" t="inlineStr">
        <is>
          <t>Phase du cycle de vie</t>
        </is>
      </c>
      <c r="H6" s="53" t="inlineStr">
        <is>
          <t>Statut du compte</t>
        </is>
      </c>
      <c r="I6" s="53" t="inlineStr">
        <is>
          <t>Type d'activité</t>
        </is>
      </c>
      <c r="J6" s="53" t="inlineStr">
        <is>
          <t>Résultat</t>
        </is>
      </c>
      <c r="K6" s="53" t="inlineStr">
        <is>
          <t>Type de rendez-vous</t>
        </is>
      </c>
      <c r="L6" s="53" t="inlineStr">
        <is>
          <t>Statut du rendez-vous</t>
        </is>
      </c>
      <c r="M6" s="53" t="inlineStr">
        <is>
          <t>Catégorie de ticket</t>
        </is>
      </c>
      <c r="N6" s="53" t="inlineStr">
        <is>
          <t>Priorité</t>
        </is>
      </c>
      <c r="O6" s="53" t="inlineStr">
        <is>
          <t>Statut du ticket</t>
        </is>
      </c>
      <c r="P6" s="53" t="inlineStr">
        <is>
          <t>Statut de commande</t>
        </is>
      </c>
      <c r="Q6" s="53" t="inlineStr">
        <is>
          <t>Type de transaction</t>
        </is>
      </c>
      <c r="R6" s="53" t="inlineStr">
        <is>
          <t>Niveau de décision</t>
        </is>
      </c>
      <c r="S6" s="53" t="inlineStr">
        <is>
          <t>Canal préféré</t>
        </is>
      </c>
      <c r="T6" s="53" t="inlineStr">
        <is>
          <t>Source d'origine</t>
        </is>
      </c>
      <c r="U6" s="53" t="inlineStr">
        <is>
          <t>Statut du lead</t>
        </is>
      </c>
      <c r="V6" s="53" t="inlineStr">
        <is>
          <t>Oui / Non</t>
        </is>
      </c>
      <c r="W6" s="53" t="inlineStr">
        <is>
          <t>Famille de produit</t>
        </is>
      </c>
      <c r="X6" s="53" t="inlineStr">
        <is>
          <t>Tranche d'effectif</t>
        </is>
      </c>
      <c r="Y6" s="53" t="inlineStr">
        <is>
          <t>Civilité</t>
        </is>
      </c>
      <c r="Z6" s="53" t="inlineStr">
        <is>
          <t>Tranche de CA</t>
        </is>
      </c>
    </row>
    <row r="7" ht="15" customHeight="1" s="34">
      <c r="A7" s="47" t="inlineStr">
        <is>
          <t>Rendez-vous programmé</t>
        </is>
      </c>
      <c r="B7" s="54" t="n">
        <v>0.2</v>
      </c>
      <c r="C7" s="47" t="inlineStr">
        <is>
          <t>Ouverte</t>
        </is>
      </c>
      <c r="E7" s="47" t="inlineStr">
        <is>
          <t>Pharmaceutique et santé</t>
        </is>
      </c>
      <c r="F7" s="47" t="inlineStr">
        <is>
          <t>Grand compte</t>
        </is>
      </c>
      <c r="G7" s="47" t="inlineStr">
        <is>
          <t>Lead</t>
        </is>
      </c>
      <c r="H7" s="47" t="inlineStr">
        <is>
          <t>Nouveau</t>
        </is>
      </c>
      <c r="I7" s="47" t="inlineStr">
        <is>
          <t>Visite terrain</t>
        </is>
      </c>
      <c r="J7" s="47" t="inlineStr">
        <is>
          <t>Positif</t>
        </is>
      </c>
      <c r="K7" s="47" t="inlineStr">
        <is>
          <t>Visite sur site</t>
        </is>
      </c>
      <c r="L7" s="47" t="inlineStr">
        <is>
          <t>Planifié</t>
        </is>
      </c>
      <c r="M7" s="47" t="inlineStr">
        <is>
          <t>Livraison</t>
        </is>
      </c>
      <c r="N7" s="47" t="inlineStr">
        <is>
          <t>Basse</t>
        </is>
      </c>
      <c r="O7" s="47" t="inlineStr">
        <is>
          <t>Nouveau</t>
        </is>
      </c>
      <c r="P7" s="47" t="inlineStr">
        <is>
          <t>En cours de livraison</t>
        </is>
      </c>
      <c r="Q7" s="47" t="inlineStr">
        <is>
          <t>Nouvelle affaire</t>
        </is>
      </c>
      <c r="R7" s="47" t="inlineStr">
        <is>
          <t>Décideur</t>
        </is>
      </c>
      <c r="S7" s="47" t="inlineStr">
        <is>
          <t>Visite</t>
        </is>
      </c>
      <c r="T7" s="47" t="inlineStr">
        <is>
          <t>Salon professionnel</t>
        </is>
      </c>
      <c r="U7" s="47" t="inlineStr">
        <is>
          <t>Nouveau</t>
        </is>
      </c>
      <c r="V7" s="47" t="inlineStr">
        <is>
          <t>Oui</t>
        </is>
      </c>
      <c r="W7" s="47" t="inlineStr">
        <is>
          <t>Consommables</t>
        </is>
      </c>
      <c r="X7" s="47" t="inlineStr">
        <is>
          <t>1 - 49</t>
        </is>
      </c>
      <c r="Y7" s="47" t="inlineStr">
        <is>
          <t>M.</t>
        </is>
      </c>
      <c r="Z7" s="47" t="inlineStr">
        <is>
          <t>Moins de 10 M€</t>
        </is>
      </c>
    </row>
    <row r="8" ht="15" customHeight="1" s="34">
      <c r="A8" s="47" t="inlineStr">
        <is>
          <t>Qualifié pour achat</t>
        </is>
      </c>
      <c r="B8" s="54" t="n">
        <v>0.4</v>
      </c>
      <c r="C8" s="47" t="inlineStr">
        <is>
          <t>Ouverte</t>
        </is>
      </c>
      <c r="E8" s="47" t="inlineStr">
        <is>
          <t>Vins et spiritueux</t>
        </is>
      </c>
      <c r="F8" s="47" t="inlineStr">
        <is>
          <t>ETI</t>
        </is>
      </c>
      <c r="G8" s="47" t="inlineStr">
        <is>
          <t>Prospect</t>
        </is>
      </c>
      <c r="H8" s="47" t="inlineStr">
        <is>
          <t>En développement</t>
        </is>
      </c>
      <c r="I8" s="47" t="inlineStr">
        <is>
          <t>Appel</t>
        </is>
      </c>
      <c r="J8" s="47" t="inlineStr">
        <is>
          <t>Neutre</t>
        </is>
      </c>
      <c r="K8" s="47" t="inlineStr">
        <is>
          <t>Visio</t>
        </is>
      </c>
      <c r="L8" s="47" t="inlineStr">
        <is>
          <t>Confirmé</t>
        </is>
      </c>
      <c r="M8" s="47" t="inlineStr">
        <is>
          <t>Qualité produit</t>
        </is>
      </c>
      <c r="N8" s="47" t="inlineStr">
        <is>
          <t>Normale</t>
        </is>
      </c>
      <c r="O8" s="47" t="inlineStr">
        <is>
          <t>En cours</t>
        </is>
      </c>
      <c r="P8" s="47" t="inlineStr">
        <is>
          <t>Livrée</t>
        </is>
      </c>
      <c r="Q8" s="47" t="inlineStr">
        <is>
          <t>Affaire existante</t>
        </is>
      </c>
      <c r="R8" s="47" t="inlineStr">
        <is>
          <t>Influenceur</t>
        </is>
      </c>
      <c r="S8" s="47" t="inlineStr">
        <is>
          <t>Téléphone</t>
        </is>
      </c>
      <c r="T8" s="47" t="inlineStr">
        <is>
          <t>Recommandation</t>
        </is>
      </c>
      <c r="U8" s="47" t="inlineStr">
        <is>
          <t>Ouvert</t>
        </is>
      </c>
      <c r="V8" s="47" t="inlineStr">
        <is>
          <t>Non</t>
        </is>
      </c>
      <c r="W8" s="47" t="inlineStr">
        <is>
          <t>Équipements</t>
        </is>
      </c>
      <c r="X8" s="47" t="inlineStr">
        <is>
          <t>50 - 249</t>
        </is>
      </c>
      <c r="Y8" s="47" t="inlineStr">
        <is>
          <t>Mme</t>
        </is>
      </c>
      <c r="Z8" s="47" t="inlineStr">
        <is>
          <t>10 - 100 M€</t>
        </is>
      </c>
    </row>
    <row r="9" ht="15" customHeight="1" s="34">
      <c r="A9" s="47" t="inlineStr">
        <is>
          <t>Présentation planifiée</t>
        </is>
      </c>
      <c r="B9" s="54" t="n">
        <v>0.6</v>
      </c>
      <c r="C9" s="47" t="inlineStr">
        <is>
          <t>Ouverte</t>
        </is>
      </c>
      <c r="E9" s="47" t="inlineStr">
        <is>
          <t>Grande consommation</t>
        </is>
      </c>
      <c r="F9" s="47" t="inlineStr">
        <is>
          <t>PME</t>
        </is>
      </c>
      <c r="G9" s="47" t="inlineStr">
        <is>
          <t>Opportunité</t>
        </is>
      </c>
      <c r="H9" s="47" t="inlineStr">
        <is>
          <t>Actif</t>
        </is>
      </c>
      <c r="I9" s="47" t="inlineStr">
        <is>
          <t>E-mail</t>
        </is>
      </c>
      <c r="J9" s="47" t="inlineStr">
        <is>
          <t>À relancer</t>
        </is>
      </c>
      <c r="K9" s="47" t="inlineStr">
        <is>
          <t>Déjeuner d'affaires</t>
        </is>
      </c>
      <c r="L9" s="47" t="inlineStr">
        <is>
          <t>À reprogrammer</t>
        </is>
      </c>
      <c r="M9" s="47" t="inlineStr">
        <is>
          <t>Facturation</t>
        </is>
      </c>
      <c r="N9" s="47" t="inlineStr">
        <is>
          <t>Haute</t>
        </is>
      </c>
      <c r="O9" s="47" t="inlineStr">
        <is>
          <t>En attente client</t>
        </is>
      </c>
      <c r="P9" s="47" t="inlineStr">
        <is>
          <t>Facturée</t>
        </is>
      </c>
      <c r="Q9" s="47" t="inlineStr">
        <is>
          <t>Renouvellement</t>
        </is>
      </c>
      <c r="R9" s="47" t="inlineStr">
        <is>
          <t>Prescripteur</t>
        </is>
      </c>
      <c r="S9" s="47" t="inlineStr">
        <is>
          <t>E-mail</t>
        </is>
      </c>
      <c r="T9" s="47" t="inlineStr">
        <is>
          <t>Prospection terrain</t>
        </is>
      </c>
      <c r="U9" s="47" t="inlineStr">
        <is>
          <t>Tentative de contact</t>
        </is>
      </c>
      <c r="W9" s="47" t="inlineStr">
        <is>
          <t>Services</t>
        </is>
      </c>
      <c r="X9" s="47" t="inlineStr">
        <is>
          <t>250 - 999</t>
        </is>
      </c>
      <c r="Z9" s="47" t="inlineStr">
        <is>
          <t>100 M€ - 1 Md€</t>
        </is>
      </c>
    </row>
    <row r="10" ht="15" customHeight="1" s="34">
      <c r="A10" s="47" t="inlineStr">
        <is>
          <t>Décideur impliqué</t>
        </is>
      </c>
      <c r="B10" s="54" t="n">
        <v>0.8</v>
      </c>
      <c r="C10" s="47" t="inlineStr">
        <is>
          <t>Ouverte</t>
        </is>
      </c>
      <c r="E10" s="47" t="inlineStr">
        <is>
          <t>Équipements et matériaux</t>
        </is>
      </c>
      <c r="G10" s="47" t="inlineStr">
        <is>
          <t>Client</t>
        </is>
      </c>
      <c r="H10" s="47" t="inlineStr">
        <is>
          <t>À surveiller</t>
        </is>
      </c>
      <c r="I10" s="47" t="inlineStr">
        <is>
          <t>Réunion visio</t>
        </is>
      </c>
      <c r="J10" s="47" t="inlineStr">
        <is>
          <t>Négatif</t>
        </is>
      </c>
      <c r="L10" s="47" t="inlineStr">
        <is>
          <t>Annulé</t>
        </is>
      </c>
      <c r="M10" s="47" t="inlineStr">
        <is>
          <t>Technique équipement</t>
        </is>
      </c>
      <c r="N10" s="47" t="inlineStr">
        <is>
          <t>Critique</t>
        </is>
      </c>
      <c r="O10" s="47" t="inlineStr">
        <is>
          <t>Fermé</t>
        </is>
      </c>
      <c r="R10" s="47" t="inlineStr">
        <is>
          <t>Utilisateur</t>
        </is>
      </c>
      <c r="S10" s="47" t="inlineStr">
        <is>
          <t>Visio</t>
        </is>
      </c>
      <c r="T10" s="47" t="inlineStr">
        <is>
          <t>Prospection téléphonique</t>
        </is>
      </c>
      <c r="U10" s="47" t="inlineStr">
        <is>
          <t>Connecté</t>
        </is>
      </c>
      <c r="X10" s="47" t="inlineStr">
        <is>
          <t>1 000 - 4 999</t>
        </is>
      </c>
      <c r="Z10" s="47" t="inlineStr">
        <is>
          <t>1 - 10 Md€</t>
        </is>
      </c>
    </row>
    <row r="11" ht="15" customHeight="1" s="34">
      <c r="A11" s="47" t="inlineStr">
        <is>
          <t>Contrat envoyé</t>
        </is>
      </c>
      <c r="B11" s="54" t="n">
        <v>0.9</v>
      </c>
      <c r="C11" s="47" t="inlineStr">
        <is>
          <t>Ouverte</t>
        </is>
      </c>
      <c r="H11" s="47" t="inlineStr">
        <is>
          <t>À risque</t>
        </is>
      </c>
      <c r="I11" s="47" t="inlineStr">
        <is>
          <t>Note</t>
        </is>
      </c>
      <c r="L11" s="47" t="inlineStr">
        <is>
          <t>Réalisé</t>
        </is>
      </c>
      <c r="M11" s="47" t="inlineStr">
        <is>
          <t>Documentation</t>
        </is>
      </c>
      <c r="T11" s="47" t="inlineStr">
        <is>
          <t>Site web</t>
        </is>
      </c>
      <c r="U11" s="47" t="inlineStr">
        <is>
          <t>Affaire ouverte</t>
        </is>
      </c>
      <c r="X11" s="47" t="inlineStr">
        <is>
          <t>5 000 - 9 999</t>
        </is>
      </c>
      <c r="Z11" s="47" t="inlineStr">
        <is>
          <t>Plus de 10 Md€</t>
        </is>
      </c>
    </row>
    <row r="12" ht="15" customHeight="1" s="34">
      <c r="A12" s="47" t="inlineStr">
        <is>
          <t>Conclu gagné</t>
        </is>
      </c>
      <c r="B12" s="54" t="n">
        <v>1</v>
      </c>
      <c r="C12" s="47" t="inlineStr">
        <is>
          <t>Gagnée</t>
        </is>
      </c>
      <c r="T12" s="47" t="inlineStr">
        <is>
          <t>Événement / webinaire</t>
        </is>
      </c>
      <c r="U12" s="47" t="inlineStr">
        <is>
          <t>Non qualifié</t>
        </is>
      </c>
      <c r="X12" s="47" t="inlineStr">
        <is>
          <t>10 000 et plus</t>
        </is>
      </c>
      <c r="Z12" s="47" t="inlineStr">
        <is>
          <t>Non publié</t>
        </is>
      </c>
    </row>
    <row r="13" ht="15" customHeight="1" s="34">
      <c r="A13" s="47" t="inlineStr">
        <is>
          <t>Conclu perdu</t>
        </is>
      </c>
      <c r="B13" s="54" t="n">
        <v>0</v>
      </c>
      <c r="C13" s="47" t="inlineStr">
        <is>
          <t>Perdue</t>
        </is>
      </c>
      <c r="Z13" s="47" t="inlineStr">
        <is>
          <t>Non publié (filiale)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3" customWidth="1" style="33" min="1" max="1"/>
    <col width="12" customWidth="1" style="33" min="2" max="2"/>
    <col width="14" customWidth="1" style="33" min="3" max="3"/>
    <col width="20" customWidth="1" style="33" min="4" max="4"/>
    <col width="36" customWidth="1" style="33" min="5" max="5"/>
    <col width="18" customWidth="1" style="33" min="6" max="6"/>
    <col width="24" customWidth="1" style="33" min="7" max="7"/>
    <col width="20" customWidth="1" style="33" min="8" max="8"/>
    <col width="36" customWidth="1" style="33" min="9" max="9"/>
    <col width="18" customWidth="1" style="33" min="10" max="10"/>
    <col width="13" customWidth="1" style="33" min="11" max="11"/>
    <col width="16" customWidth="1" style="33" min="12" max="12"/>
    <col width="14" customWidth="1" style="33" min="13" max="13"/>
    <col width="18" customWidth="1" style="33" min="14" max="15"/>
    <col width="14" customWidth="1" style="33" min="16" max="16"/>
  </cols>
  <sheetData>
    <row r="1" ht="31.5" customHeight="1" s="34">
      <c r="A1" s="55" t="inlineStr">
        <is>
          <t>ID commercial</t>
        </is>
      </c>
      <c r="B1" s="55" t="inlineStr">
        <is>
          <t>Prénom</t>
        </is>
      </c>
      <c r="C1" s="55" t="inlineStr">
        <is>
          <t>Nom</t>
        </is>
      </c>
      <c r="D1" s="56" t="inlineStr">
        <is>
          <t>Nom complet</t>
        </is>
      </c>
      <c r="E1" s="55" t="inlineStr">
        <is>
          <t>E-mail</t>
        </is>
      </c>
      <c r="F1" s="55" t="inlineStr">
        <is>
          <t>Téléphone mobile</t>
        </is>
      </c>
      <c r="G1" s="55" t="inlineStr">
        <is>
          <t>Profil métier</t>
        </is>
      </c>
      <c r="H1" s="55" t="inlineStr">
        <is>
          <t>Équipe</t>
        </is>
      </c>
      <c r="I1" s="55" t="inlineStr">
        <is>
          <t>Territoire</t>
        </is>
      </c>
      <c r="J1" s="55" t="inlineStr">
        <is>
          <t>Manager</t>
        </is>
      </c>
      <c r="K1" s="55" t="inlineStr">
        <is>
          <t>Date d'arrivée</t>
        </is>
      </c>
      <c r="L1" s="55" t="inlineStr">
        <is>
          <t>Objectif CA annuel (€)</t>
        </is>
      </c>
      <c r="M1" s="56" t="inlineStr">
        <is>
          <t>Comptes en portefeuille</t>
        </is>
      </c>
      <c r="N1" s="56" t="inlineStr">
        <is>
          <t>CA 12 derniers mois du portefeuille (€)</t>
        </is>
      </c>
      <c r="O1" s="56" t="inlineStr">
        <is>
          <t>Pipeline pondéré ouvert (€)</t>
        </is>
      </c>
      <c r="P1" s="56" t="inlineStr">
        <is>
          <t>Rendez-vous à venir</t>
        </is>
      </c>
    </row>
    <row r="2" ht="15" customHeight="1" s="34">
      <c r="A2" s="57" t="inlineStr">
        <is>
          <t>U001</t>
        </is>
      </c>
      <c r="B2" s="57" t="inlineStr">
        <is>
          <t>Camille</t>
        </is>
      </c>
      <c r="C2" s="57" t="inlineStr">
        <is>
          <t>Laurent</t>
        </is>
      </c>
      <c r="D2" s="57">
        <f>B2&amp;" "&amp;C2</f>
        <v/>
      </c>
      <c r="E2" s="57" t="inlineStr">
        <is>
          <t>camille.laurent@orvane-solutions.example</t>
        </is>
      </c>
      <c r="F2" s="57" t="inlineStr">
        <is>
          <t>+33 6 39 98 10 20</t>
        </is>
      </c>
      <c r="G2" s="57" t="inlineStr">
        <is>
          <t>Directrice commerciale</t>
        </is>
      </c>
      <c r="H2" s="57" t="inlineStr">
        <is>
          <t>Direction commerciale</t>
        </is>
      </c>
      <c r="I2" s="57" t="inlineStr">
        <is>
          <t>France</t>
        </is>
      </c>
      <c r="J2" s="57" t="n"/>
      <c r="K2" s="58" t="n">
        <v>43528</v>
      </c>
      <c r="L2" s="59" t="n"/>
      <c r="M2" s="60">
        <f>COUNTIF(Entreprises!$S$2:$S$3000,A2)</f>
        <v/>
      </c>
      <c r="N2" s="59">
        <f>SUMIFS(Entreprises!$AA$2:$AA$3000,Entreprises!$S$2:$S$3000,A2)</f>
        <v/>
      </c>
      <c r="O2" s="59">
        <f>SUMIFS(Transactions!$M$2:$M$3000,Transactions!$G$2:$G$3000,A2,Transactions!$N$2:$N$3000,"Ouverte")</f>
        <v/>
      </c>
      <c r="P2" s="60">
        <f>COUNTIFS('Rendez-vous'!$K$2:$K$3000,A2,'Rendez-vous'!$B$2:$B$3000,"&gt;="&amp;DateExport)</f>
        <v/>
      </c>
    </row>
    <row r="3" ht="15" customHeight="1" s="34">
      <c r="A3" s="57" t="inlineStr">
        <is>
          <t>U002</t>
        </is>
      </c>
      <c r="B3" s="57" t="inlineStr">
        <is>
          <t>Julien</t>
        </is>
      </c>
      <c r="C3" s="57" t="inlineStr">
        <is>
          <t>Morel</t>
        </is>
      </c>
      <c r="D3" s="57">
        <f>B3&amp;" "&amp;C3</f>
        <v/>
      </c>
      <c r="E3" s="57" t="inlineStr">
        <is>
          <t>julien.morel@orvane-solutions.example</t>
        </is>
      </c>
      <c r="F3" s="57" t="inlineStr">
        <is>
          <t>+33 6 39 98 17 31</t>
        </is>
      </c>
      <c r="G3" s="57" t="inlineStr">
        <is>
          <t>Commercial terrain</t>
        </is>
      </c>
      <c r="H3" s="57" t="inlineStr">
        <is>
          <t>Ventes terrain</t>
        </is>
      </c>
      <c r="I3" s="57" t="inlineStr">
        <is>
          <t>Hauts-de-France et Île-de-France</t>
        </is>
      </c>
      <c r="J3" s="57" t="inlineStr">
        <is>
          <t>Camille Laurent</t>
        </is>
      </c>
      <c r="K3" s="58" t="n">
        <v>44440</v>
      </c>
      <c r="L3" s="59" t="n">
        <v>1400000</v>
      </c>
      <c r="M3" s="60">
        <f>COUNTIF(Entreprises!$S$2:$S$3000,A3)</f>
        <v/>
      </c>
      <c r="N3" s="59">
        <f>SUMIFS(Entreprises!$AA$2:$AA$3000,Entreprises!$S$2:$S$3000,A3)</f>
        <v/>
      </c>
      <c r="O3" s="59">
        <f>SUMIFS(Transactions!$M$2:$M$3000,Transactions!$G$2:$G$3000,A3,Transactions!$N$2:$N$3000,"Ouverte")</f>
        <v/>
      </c>
      <c r="P3" s="60">
        <f>COUNTIFS('Rendez-vous'!$K$2:$K$3000,A3,'Rendez-vous'!$B$2:$B$3000,"&gt;="&amp;DateExport)</f>
        <v/>
      </c>
    </row>
    <row r="4" ht="15" customHeight="1" s="34">
      <c r="A4" s="57" t="inlineStr">
        <is>
          <t>U003</t>
        </is>
      </c>
      <c r="B4" s="57" t="inlineStr">
        <is>
          <t>Sarah</t>
        </is>
      </c>
      <c r="C4" s="57" t="inlineStr">
        <is>
          <t>Benali</t>
        </is>
      </c>
      <c r="D4" s="57">
        <f>B4&amp;" "&amp;C4</f>
        <v/>
      </c>
      <c r="E4" s="57" t="inlineStr">
        <is>
          <t>sarah.benali@orvane-solutions.example</t>
        </is>
      </c>
      <c r="F4" s="57" t="inlineStr">
        <is>
          <t>+33 6 39 98 24 42</t>
        </is>
      </c>
      <c r="G4" s="57" t="inlineStr">
        <is>
          <t>Commerciale terrain</t>
        </is>
      </c>
      <c r="H4" s="57" t="inlineStr">
        <is>
          <t>Ventes terrain</t>
        </is>
      </c>
      <c r="I4" s="57" t="inlineStr">
        <is>
          <t>Champagne et Grand Est</t>
        </is>
      </c>
      <c r="J4" s="57" t="inlineStr">
        <is>
          <t>Camille Laurent</t>
        </is>
      </c>
      <c r="K4" s="58" t="n">
        <v>44571</v>
      </c>
      <c r="L4" s="59" t="n">
        <v>1100000</v>
      </c>
      <c r="M4" s="60">
        <f>COUNTIF(Entreprises!$S$2:$S$3000,A4)</f>
        <v/>
      </c>
      <c r="N4" s="59">
        <f>SUMIFS(Entreprises!$AA$2:$AA$3000,Entreprises!$S$2:$S$3000,A4)</f>
        <v/>
      </c>
      <c r="O4" s="59">
        <f>SUMIFS(Transactions!$M$2:$M$3000,Transactions!$G$2:$G$3000,A4,Transactions!$N$2:$N$3000,"Ouverte")</f>
        <v/>
      </c>
      <c r="P4" s="60">
        <f>COUNTIFS('Rendez-vous'!$K$2:$K$3000,A4,'Rendez-vous'!$B$2:$B$3000,"&gt;="&amp;DateExport)</f>
        <v/>
      </c>
    </row>
    <row r="5" ht="15" customHeight="1" s="34">
      <c r="A5" s="57" t="inlineStr">
        <is>
          <t>U004</t>
        </is>
      </c>
      <c r="B5" s="57" t="inlineStr">
        <is>
          <t>Maxime</t>
        </is>
      </c>
      <c r="C5" s="57" t="inlineStr">
        <is>
          <t>Garnier</t>
        </is>
      </c>
      <c r="D5" s="57">
        <f>B5&amp;" "&amp;C5</f>
        <v/>
      </c>
      <c r="E5" s="57" t="inlineStr">
        <is>
          <t>maxime.garnier@orvane-solutions.example</t>
        </is>
      </c>
      <c r="F5" s="57" t="inlineStr">
        <is>
          <t>+33 6 39 98 31 53</t>
        </is>
      </c>
      <c r="G5" s="57" t="inlineStr">
        <is>
          <t>Commercial terrain</t>
        </is>
      </c>
      <c r="H5" s="57" t="inlineStr">
        <is>
          <t>Ventes terrain</t>
        </is>
      </c>
      <c r="I5" s="57" t="inlineStr">
        <is>
          <t>Auvergne-Rhône-Alpes et Sud-Est</t>
        </is>
      </c>
      <c r="J5" s="57" t="inlineStr">
        <is>
          <t>Camille Laurent</t>
        </is>
      </c>
      <c r="K5" s="58" t="n">
        <v>43969</v>
      </c>
      <c r="L5" s="59" t="n">
        <v>1300000</v>
      </c>
      <c r="M5" s="60">
        <f>COUNTIF(Entreprises!$S$2:$S$3000,A5)</f>
        <v/>
      </c>
      <c r="N5" s="59">
        <f>SUMIFS(Entreprises!$AA$2:$AA$3000,Entreprises!$S$2:$S$3000,A5)</f>
        <v/>
      </c>
      <c r="O5" s="59">
        <f>SUMIFS(Transactions!$M$2:$M$3000,Transactions!$G$2:$G$3000,A5,Transactions!$N$2:$N$3000,"Ouverte")</f>
        <v/>
      </c>
      <c r="P5" s="60">
        <f>COUNTIFS('Rendez-vous'!$K$2:$K$3000,A5,'Rendez-vous'!$B$2:$B$3000,"&gt;="&amp;DateExport)</f>
        <v/>
      </c>
    </row>
    <row r="6" ht="15" customHeight="1" s="34">
      <c r="A6" s="57" t="inlineStr">
        <is>
          <t>U005</t>
        </is>
      </c>
      <c r="B6" s="57" t="inlineStr">
        <is>
          <t>Élodie</t>
        </is>
      </c>
      <c r="C6" s="57" t="inlineStr">
        <is>
          <t>Fabre</t>
        </is>
      </c>
      <c r="D6" s="57">
        <f>B6&amp;" "&amp;C6</f>
        <v/>
      </c>
      <c r="E6" s="57" t="inlineStr">
        <is>
          <t>elodie.fabre@orvane-solutions.example</t>
        </is>
      </c>
      <c r="F6" s="57" t="inlineStr">
        <is>
          <t>+33 6 39 98 38 64</t>
        </is>
      </c>
      <c r="G6" s="57" t="inlineStr">
        <is>
          <t>Commerciale terrain</t>
        </is>
      </c>
      <c r="H6" s="57" t="inlineStr">
        <is>
          <t>Ventes terrain</t>
        </is>
      </c>
      <c r="I6" s="57" t="inlineStr">
        <is>
          <t>Nouvelle-Aquitaine et Occitanie</t>
        </is>
      </c>
      <c r="J6" s="57" t="inlineStr">
        <is>
          <t>Camille Laurent</t>
        </is>
      </c>
      <c r="K6" s="58" t="n">
        <v>44963</v>
      </c>
      <c r="L6" s="59" t="n">
        <v>1000000</v>
      </c>
      <c r="M6" s="60">
        <f>COUNTIF(Entreprises!$S$2:$S$3000,A6)</f>
        <v/>
      </c>
      <c r="N6" s="59">
        <f>SUMIFS(Entreprises!$AA$2:$AA$3000,Entreprises!$S$2:$S$3000,A6)</f>
        <v/>
      </c>
      <c r="O6" s="59">
        <f>SUMIFS(Transactions!$M$2:$M$3000,Transactions!$G$2:$G$3000,A6,Transactions!$N$2:$N$3000,"Ouverte")</f>
        <v/>
      </c>
      <c r="P6" s="60">
        <f>COUNTIFS('Rendez-vous'!$K$2:$K$3000,A6,'Rendez-vous'!$B$2:$B$3000,"&gt;="&amp;DateExport)</f>
        <v/>
      </c>
    </row>
    <row r="7" ht="15" customHeight="1" s="34">
      <c r="A7" s="57" t="inlineStr">
        <is>
          <t>U006</t>
        </is>
      </c>
      <c r="B7" s="57" t="inlineStr">
        <is>
          <t>Thomas</t>
        </is>
      </c>
      <c r="C7" s="57" t="inlineStr">
        <is>
          <t>Roussel</t>
        </is>
      </c>
      <c r="D7" s="57">
        <f>B7&amp;" "&amp;C7</f>
        <v/>
      </c>
      <c r="E7" s="57" t="inlineStr">
        <is>
          <t>thomas.roussel@orvane-solutions.example</t>
        </is>
      </c>
      <c r="F7" s="57" t="inlineStr">
        <is>
          <t>+33 6 39 98 45 75</t>
        </is>
      </c>
      <c r="G7" s="57" t="inlineStr">
        <is>
          <t>Key Account Manager</t>
        </is>
      </c>
      <c r="H7" s="57" t="inlineStr">
        <is>
          <t>Grands comptes</t>
        </is>
      </c>
      <c r="I7" s="57" t="inlineStr">
        <is>
          <t>National - Santé</t>
        </is>
      </c>
      <c r="J7" s="57" t="inlineStr">
        <is>
          <t>Camille Laurent</t>
        </is>
      </c>
      <c r="K7" s="58" t="n">
        <v>43409</v>
      </c>
      <c r="L7" s="59" t="n">
        <v>2500000</v>
      </c>
      <c r="M7" s="60">
        <f>COUNTIF(Entreprises!$S$2:$S$3000,A7)</f>
        <v/>
      </c>
      <c r="N7" s="59">
        <f>SUMIFS(Entreprises!$AA$2:$AA$3000,Entreprises!$S$2:$S$3000,A7)</f>
        <v/>
      </c>
      <c r="O7" s="59">
        <f>SUMIFS(Transactions!$M$2:$M$3000,Transactions!$G$2:$G$3000,A7,Transactions!$N$2:$N$3000,"Ouverte")</f>
        <v/>
      </c>
      <c r="P7" s="60">
        <f>COUNTIFS('Rendez-vous'!$K$2:$K$3000,A7,'Rendez-vous'!$B$2:$B$3000,"&gt;="&amp;DateExport)</f>
        <v/>
      </c>
    </row>
    <row r="8" ht="15" customHeight="1" s="34">
      <c r="A8" s="57" t="inlineStr">
        <is>
          <t>U007</t>
        </is>
      </c>
      <c r="B8" s="57" t="inlineStr">
        <is>
          <t>Inès</t>
        </is>
      </c>
      <c r="C8" s="57" t="inlineStr">
        <is>
          <t>Caron</t>
        </is>
      </c>
      <c r="D8" s="57">
        <f>B8&amp;" "&amp;C8</f>
        <v/>
      </c>
      <c r="E8" s="57" t="inlineStr">
        <is>
          <t>ines.caron@orvane-solutions.example</t>
        </is>
      </c>
      <c r="F8" s="57" t="inlineStr">
        <is>
          <t>+33 6 39 98 52 86</t>
        </is>
      </c>
      <c r="G8" s="57" t="inlineStr">
        <is>
          <t>Key Account Manager</t>
        </is>
      </c>
      <c r="H8" s="57" t="inlineStr">
        <is>
          <t>Grands comptes</t>
        </is>
      </c>
      <c r="I8" s="57" t="inlineStr">
        <is>
          <t>National - Grande consommation et Industrie</t>
        </is>
      </c>
      <c r="J8" s="57" t="inlineStr">
        <is>
          <t>Camille Laurent</t>
        </is>
      </c>
      <c r="K8" s="58" t="n">
        <v>43633</v>
      </c>
      <c r="L8" s="59" t="n">
        <v>2800000</v>
      </c>
      <c r="M8" s="60">
        <f>COUNTIF(Entreprises!$S$2:$S$3000,A8)</f>
        <v/>
      </c>
      <c r="N8" s="59">
        <f>SUMIFS(Entreprises!$AA$2:$AA$3000,Entreprises!$S$2:$S$3000,A8)</f>
        <v/>
      </c>
      <c r="O8" s="59">
        <f>SUMIFS(Transactions!$M$2:$M$3000,Transactions!$G$2:$G$3000,A8,Transactions!$N$2:$N$3000,"Ouverte")</f>
        <v/>
      </c>
      <c r="P8" s="60">
        <f>COUNTIFS('Rendez-vous'!$K$2:$K$3000,A8,'Rendez-vous'!$B$2:$B$3000,"&gt;="&amp;DateExport)</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I1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1" customWidth="1" style="33" min="1" max="1"/>
    <col width="15" customWidth="1" style="33" min="2" max="2"/>
    <col width="38" customWidth="1" style="33" min="3" max="3"/>
    <col width="14" customWidth="1" style="33" min="4" max="4"/>
    <col width="60" customWidth="1" style="33" min="5" max="5"/>
    <col width="24" customWidth="1" style="33" min="6" max="6"/>
    <col width="16" customWidth="1" style="33" min="7" max="7"/>
    <col width="36" customWidth="1" style="33" min="8" max="8"/>
    <col width="8" customWidth="1" style="33" min="9" max="9"/>
  </cols>
  <sheetData>
    <row r="1" ht="31.5" customHeight="1" s="34">
      <c r="A1" s="55" t="inlineStr">
        <is>
          <t>ID produit</t>
        </is>
      </c>
      <c r="B1" s="55" t="inlineStr">
        <is>
          <t>Référence</t>
        </is>
      </c>
      <c r="C1" s="55" t="inlineStr">
        <is>
          <t>Nom du produit</t>
        </is>
      </c>
      <c r="D1" s="55" t="inlineStr">
        <is>
          <t>Famille</t>
        </is>
      </c>
      <c r="E1" s="55" t="inlineStr">
        <is>
          <t>Description</t>
        </is>
      </c>
      <c r="F1" s="55" t="inlineStr">
        <is>
          <t>Unité de vente</t>
        </is>
      </c>
      <c r="G1" s="55" t="inlineStr">
        <is>
          <t>Prix unitaire HT (€)</t>
        </is>
      </c>
      <c r="H1" s="55" t="inlineStr">
        <is>
          <t>Marchés cibles</t>
        </is>
      </c>
      <c r="I1" s="55" t="inlineStr">
        <is>
          <t>Actif</t>
        </is>
      </c>
    </row>
    <row r="2" ht="23.85" customHeight="1" s="34">
      <c r="A2" s="57" t="inlineStr">
        <is>
          <t>P001</t>
        </is>
      </c>
      <c r="B2" s="57" t="inlineStr">
        <is>
          <t>ETU-PH-100</t>
        </is>
      </c>
      <c r="C2" s="57" t="inlineStr">
        <is>
          <t>Étuis carton pharmaceutiques imprimés</t>
        </is>
      </c>
      <c r="D2" s="57" t="inlineStr">
        <is>
          <t>Consommables</t>
        </is>
      </c>
      <c r="E2" s="40" t="inlineStr">
        <is>
          <t>Étuis pliants en carton compact, impression offset, compatibles encartonneuses pharmaceutiques.</t>
        </is>
      </c>
      <c r="F2" s="57" t="inlineStr">
        <is>
          <t>Lot de 1 000 étuis</t>
        </is>
      </c>
      <c r="G2" s="59" t="n">
        <v>185</v>
      </c>
      <c r="H2" s="57" t="inlineStr">
        <is>
          <t>Pharmaceutique et santé</t>
        </is>
      </c>
      <c r="I2" s="57" t="inlineStr">
        <is>
          <t>Oui</t>
        </is>
      </c>
    </row>
    <row r="3" ht="23.85" customHeight="1" s="34">
      <c r="A3" s="57" t="inlineStr">
        <is>
          <t>P002</t>
        </is>
      </c>
      <c r="B3" s="57" t="inlineStr">
        <is>
          <t>NOT-PH-200</t>
        </is>
      </c>
      <c r="C3" s="57" t="inlineStr">
        <is>
          <t>Notices pharmaceutiques pliées</t>
        </is>
      </c>
      <c r="D3" s="57" t="inlineStr">
        <is>
          <t>Consommables</t>
        </is>
      </c>
      <c r="E3" s="40" t="inlineStr">
        <is>
          <t>Notices papier bible pliées, multilingues, conformes aux exigences réglementaires.</t>
        </is>
      </c>
      <c r="F3" s="57" t="inlineStr">
        <is>
          <t>Lot de 1 000 notices</t>
        </is>
      </c>
      <c r="G3" s="59" t="n">
        <v>95</v>
      </c>
      <c r="H3" s="57" t="inlineStr">
        <is>
          <t>Pharmaceutique et santé</t>
        </is>
      </c>
      <c r="I3" s="57" t="inlineStr">
        <is>
          <t>Oui</t>
        </is>
      </c>
    </row>
    <row r="4" ht="23.85" customHeight="1" s="34">
      <c r="A4" s="57" t="inlineStr">
        <is>
          <t>P003</t>
        </is>
      </c>
      <c r="B4" s="57" t="inlineStr">
        <is>
          <t>ETQ-HR-300</t>
        </is>
      </c>
      <c r="C4" s="57" t="inlineStr">
        <is>
          <t>Étiquettes adhésives haute définition</t>
        </is>
      </c>
      <c r="D4" s="57" t="inlineStr">
        <is>
          <t>Consommables</t>
        </is>
      </c>
      <c r="E4" s="40" t="inlineStr">
        <is>
          <t>Étiquettes papier ou synthétiques, impression numérique, résistance humidité et froid.</t>
        </is>
      </c>
      <c r="F4" s="57" t="inlineStr">
        <is>
          <t>Rouleau de 5 000 étiquettes</t>
        </is>
      </c>
      <c r="G4" s="59" t="n">
        <v>240</v>
      </c>
      <c r="H4" s="57" t="inlineStr">
        <is>
          <t>Tous marchés</t>
        </is>
      </c>
      <c r="I4" s="57" t="inlineStr">
        <is>
          <t>Oui</t>
        </is>
      </c>
    </row>
    <row r="5" ht="23.85" customHeight="1" s="34">
      <c r="A5" s="57" t="inlineStr">
        <is>
          <t>P004</t>
        </is>
      </c>
      <c r="B5" s="57" t="inlineStr">
        <is>
          <t>ETQ-TE-310</t>
        </is>
      </c>
      <c r="C5" s="57" t="inlineStr">
        <is>
          <t>Étiquettes d'inviolabilité</t>
        </is>
      </c>
      <c r="D5" s="57" t="inlineStr">
        <is>
          <t>Consommables</t>
        </is>
      </c>
      <c r="E5" s="40" t="inlineStr">
        <is>
          <t>Étiquettes de première ouverture (tamper-evident) avec découpe de sécurité.</t>
        </is>
      </c>
      <c r="F5" s="57" t="inlineStr">
        <is>
          <t>Rouleau de 5 000 étiquettes</t>
        </is>
      </c>
      <c r="G5" s="59" t="n">
        <v>310</v>
      </c>
      <c r="H5" s="57" t="inlineStr">
        <is>
          <t>Pharmaceutique et santé ; Vins et spiritueux</t>
        </is>
      </c>
      <c r="I5" s="57" t="inlineStr">
        <is>
          <t>Oui</t>
        </is>
      </c>
    </row>
    <row r="6" ht="15" customHeight="1" s="34">
      <c r="A6" s="57" t="inlineStr">
        <is>
          <t>P005</t>
        </is>
      </c>
      <c r="B6" s="57" t="inlineStr">
        <is>
          <t>COF-PR-400</t>
        </is>
      </c>
      <c r="C6" s="57" t="inlineStr">
        <is>
          <t>Coffrets rigides premium</t>
        </is>
      </c>
      <c r="D6" s="57" t="inlineStr">
        <is>
          <t>Consommables</t>
        </is>
      </c>
      <c r="E6" s="40" t="inlineStr">
        <is>
          <t>Coffrets carton rigide habillés, calage carton, finitions dorure et gaufrage.</t>
        </is>
      </c>
      <c r="F6" s="57" t="inlineStr">
        <is>
          <t>Lot de 100 coffrets</t>
        </is>
      </c>
      <c r="G6" s="59" t="n">
        <v>1450</v>
      </c>
      <c r="H6" s="57" t="inlineStr">
        <is>
          <t>Vins et spiritueux ; Grande consommation</t>
        </is>
      </c>
      <c r="I6" s="57" t="inlineStr">
        <is>
          <t>Oui</t>
        </is>
      </c>
    </row>
    <row r="7" ht="15" customHeight="1" s="34">
      <c r="A7" s="57" t="inlineStr">
        <is>
          <t>P006</t>
        </is>
      </c>
      <c r="B7" s="57" t="inlineStr">
        <is>
          <t>ETU-SP-410</t>
        </is>
      </c>
      <c r="C7" s="57" t="inlineStr">
        <is>
          <t>Étuis spiritueux luxe</t>
        </is>
      </c>
      <c r="D7" s="57" t="inlineStr">
        <is>
          <t>Consommables</t>
        </is>
      </c>
      <c r="E7" s="40" t="inlineStr">
        <is>
          <t>Étuis carton luxe avec dorure à chaud et vernis sélectif.</t>
        </is>
      </c>
      <c r="F7" s="57" t="inlineStr">
        <is>
          <t>Lot de 500 étuis</t>
        </is>
      </c>
      <c r="G7" s="59" t="n">
        <v>1150</v>
      </c>
      <c r="H7" s="57" t="inlineStr">
        <is>
          <t>Vins et spiritueux</t>
        </is>
      </c>
      <c r="I7" s="57" t="inlineStr">
        <is>
          <t>Oui</t>
        </is>
      </c>
    </row>
    <row r="8" ht="23.85" customHeight="1" s="34">
      <c r="A8" s="57" t="inlineStr">
        <is>
          <t>P007</t>
        </is>
      </c>
      <c r="B8" s="57" t="inlineStr">
        <is>
          <t>CAI-OND-500</t>
        </is>
      </c>
      <c r="C8" s="57" t="inlineStr">
        <is>
          <t>Caisses carton ondulé personnalisées</t>
        </is>
      </c>
      <c r="D8" s="57" t="inlineStr">
        <is>
          <t>Consommables</t>
        </is>
      </c>
      <c r="E8" s="40" t="inlineStr">
        <is>
          <t>Caisses américaines et wrap-around, impression flexo, cannelures adaptées au transport.</t>
        </is>
      </c>
      <c r="F8" s="57" t="inlineStr">
        <is>
          <t>Palette de 500 caisses</t>
        </is>
      </c>
      <c r="G8" s="59" t="n">
        <v>620</v>
      </c>
      <c r="H8" s="57" t="inlineStr">
        <is>
          <t>Tous marchés</t>
        </is>
      </c>
      <c r="I8" s="57" t="inlineStr">
        <is>
          <t>Oui</t>
        </is>
      </c>
    </row>
    <row r="9" ht="15" customHeight="1" s="34">
      <c r="A9" s="57" t="inlineStr">
        <is>
          <t>P008</t>
        </is>
      </c>
      <c r="B9" s="57" t="inlineStr">
        <is>
          <t>ECO-MM-520</t>
        </is>
      </c>
      <c r="C9" s="57" t="inlineStr">
        <is>
          <t>Emballages éco-conçus mono-matériau</t>
        </is>
      </c>
      <c r="D9" s="57" t="inlineStr">
        <is>
          <t>Consommables</t>
        </is>
      </c>
      <c r="E9" s="40" t="inlineStr">
        <is>
          <t>Étuis et calages 100 % carton, fibres certifiées, sans plastique.</t>
        </is>
      </c>
      <c r="F9" s="57" t="inlineStr">
        <is>
          <t>Lot de 1 000 unités</t>
        </is>
      </c>
      <c r="G9" s="59" t="n">
        <v>410</v>
      </c>
      <c r="H9" s="57" t="inlineStr">
        <is>
          <t>Tous marchés</t>
        </is>
      </c>
      <c r="I9" s="57" t="inlineStr">
        <is>
          <t>Oui</t>
        </is>
      </c>
    </row>
    <row r="10" ht="15" customHeight="1" s="34">
      <c r="A10" s="57" t="inlineStr">
        <is>
          <t>P009</t>
        </is>
      </c>
      <c r="B10" s="57" t="inlineStr">
        <is>
          <t>SER-DM-600</t>
        </is>
      </c>
      <c r="C10" s="57" t="inlineStr">
        <is>
          <t>Solution de sérialisation DataMatrix</t>
        </is>
      </c>
      <c r="D10" s="57" t="inlineStr">
        <is>
          <t>Équipements</t>
        </is>
      </c>
      <c r="E10" s="40" t="inlineStr">
        <is>
          <t>Module d'impression et de contrôle DataMatrix avec logiciel d'agrégation.</t>
        </is>
      </c>
      <c r="F10" s="57" t="inlineStr">
        <is>
          <t>Unité</t>
        </is>
      </c>
      <c r="G10" s="59" t="n">
        <v>68000</v>
      </c>
      <c r="H10" s="57" t="inlineStr">
        <is>
          <t>Pharmaceutique et santé</t>
        </is>
      </c>
      <c r="I10" s="57" t="inlineStr">
        <is>
          <t>Oui</t>
        </is>
      </c>
    </row>
    <row r="11" ht="15" customHeight="1" s="34">
      <c r="A11" s="57" t="inlineStr">
        <is>
          <t>P010</t>
        </is>
      </c>
      <c r="B11" s="57" t="inlineStr">
        <is>
          <t>ETQ-AUTO-400</t>
        </is>
      </c>
      <c r="C11" s="57" t="inlineStr">
        <is>
          <t>Étiqueteuse automatique ETQ-400</t>
        </is>
      </c>
      <c r="D11" s="57" t="inlineStr">
        <is>
          <t>Équipements</t>
        </is>
      </c>
      <c r="E11" s="40" t="inlineStr">
        <is>
          <t>Étiqueteuse automatique jusqu'à 200 produits par minute.</t>
        </is>
      </c>
      <c r="F11" s="57" t="inlineStr">
        <is>
          <t>Unité</t>
        </is>
      </c>
      <c r="G11" s="59" t="n">
        <v>42000</v>
      </c>
      <c r="H11" s="57" t="inlineStr">
        <is>
          <t>Tous marchés</t>
        </is>
      </c>
      <c r="I11" s="57" t="inlineStr">
        <is>
          <t>Oui</t>
        </is>
      </c>
    </row>
    <row r="12" ht="23.85" customHeight="1" s="34">
      <c r="A12" s="57" t="inlineStr">
        <is>
          <t>P011</t>
        </is>
      </c>
      <c r="B12" s="57" t="inlineStr">
        <is>
          <t>ENC-200</t>
        </is>
      </c>
      <c r="C12" s="57" t="inlineStr">
        <is>
          <t>Encartonneuse automatique EC-200</t>
        </is>
      </c>
      <c r="D12" s="57" t="inlineStr">
        <is>
          <t>Équipements</t>
        </is>
      </c>
      <c r="E12" s="40" t="inlineStr">
        <is>
          <t>Encartonneuse automatique jusqu'à 20 cartons par minute, changement de format rapide.</t>
        </is>
      </c>
      <c r="F12" s="57" t="inlineStr">
        <is>
          <t>Unité</t>
        </is>
      </c>
      <c r="G12" s="59" t="n">
        <v>125000</v>
      </c>
      <c r="H12" s="57" t="inlineStr">
        <is>
          <t>Tous marchés</t>
        </is>
      </c>
      <c r="I12" s="57" t="inlineStr">
        <is>
          <t>Oui</t>
        </is>
      </c>
    </row>
    <row r="13" ht="23.85" customHeight="1" s="34">
      <c r="A13" s="57" t="inlineStr">
        <is>
          <t>P012</t>
        </is>
      </c>
      <c r="B13" s="57" t="inlineStr">
        <is>
          <t>MNT-PREV-01</t>
        </is>
      </c>
      <c r="C13" s="57" t="inlineStr">
        <is>
          <t>Contrat de maintenance préventive</t>
        </is>
      </c>
      <c r="D13" s="57" t="inlineStr">
        <is>
          <t>Services</t>
        </is>
      </c>
      <c r="E13" s="40" t="inlineStr">
        <is>
          <t>Deux visites préventives par an, assistance téléphonique et pièces d'usure.</t>
        </is>
      </c>
      <c r="F13" s="57" t="inlineStr">
        <is>
          <t>Contrat annuel</t>
        </is>
      </c>
      <c r="G13" s="59" t="n">
        <v>9600</v>
      </c>
      <c r="H13" s="57" t="inlineStr">
        <is>
          <t>Tous marchés</t>
        </is>
      </c>
      <c r="I13" s="57" t="inlineStr">
        <is>
          <t>Oui</t>
        </is>
      </c>
    </row>
    <row r="14" ht="23.85" customHeight="1" s="34">
      <c r="A14" s="57" t="inlineStr">
        <is>
          <t>P013</t>
        </is>
      </c>
      <c r="B14" s="57" t="inlineStr">
        <is>
          <t>AUD-LIG-01</t>
        </is>
      </c>
      <c r="C14" s="57" t="inlineStr">
        <is>
          <t>Audit de ligne de conditionnement</t>
        </is>
      </c>
      <c r="D14" s="57" t="inlineStr">
        <is>
          <t>Services</t>
        </is>
      </c>
      <c r="E14" s="40" t="inlineStr">
        <is>
          <t>Diagnostic de performance et recommandations sur une ligne de conditionnement.</t>
        </is>
      </c>
      <c r="F14" s="57" t="inlineStr">
        <is>
          <t>Forfait</t>
        </is>
      </c>
      <c r="G14" s="59" t="n">
        <v>4800</v>
      </c>
      <c r="H14" s="57" t="inlineStr">
        <is>
          <t>Tous marchés</t>
        </is>
      </c>
      <c r="I14" s="57" t="inlineStr">
        <is>
          <t>Oui</t>
        </is>
      </c>
    </row>
    <row r="15" ht="15" customHeight="1" s="34">
      <c r="A15" s="57" t="inlineStr">
        <is>
          <t>P014</t>
        </is>
      </c>
      <c r="B15" s="57" t="inlineStr">
        <is>
          <t>FOR-OPE-01</t>
        </is>
      </c>
      <c r="C15" s="57" t="inlineStr">
        <is>
          <t>Formation opérateurs</t>
        </is>
      </c>
      <c r="D15" s="57" t="inlineStr">
        <is>
          <t>Services</t>
        </is>
      </c>
      <c r="E15" s="40" t="inlineStr">
        <is>
          <t>Formation sur site à la conduite et au réglage des équipements.</t>
        </is>
      </c>
      <c r="F15" s="57" t="inlineStr">
        <is>
          <t>Journée</t>
        </is>
      </c>
      <c r="G15" s="59" t="n">
        <v>1200</v>
      </c>
      <c r="H15" s="57" t="inlineStr">
        <is>
          <t>Tous marchés</t>
        </is>
      </c>
      <c r="I15" s="57" t="inlineStr">
        <is>
          <t>Oui</t>
        </is>
      </c>
    </row>
  </sheetData>
  <dataValidations count="2">
    <dataValidation sqref="D2:D215" showDropDown="0" showInputMessage="0" showErrorMessage="1" allowBlank="1" errorTitle="Valeur non autorisée" error="Choisissez une valeur dans la liste." type="list" errorStyle="stop" operator="between">
      <formula1>Paramètres!$W$7:$W$9</formula1>
      <formula2>0</formula2>
    </dataValidation>
    <dataValidation sqref="I2:I215" showDropDown="0" showInputMessage="0" showErrorMessage="1" allowBlank="1" errorTitle="Valeur non autorisée" error="Choisissez une valeur dans la liste." type="list" errorStyle="stop" operator="between">
      <formula1>Paramètres!$V$7:$V$8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0"/>
  </sheetPr>
  <dimension ref="A1:AJ3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2" customWidth="1" style="33" min="1" max="1"/>
    <col width="22" customWidth="1" style="33" min="2" max="3"/>
    <col width="30" customWidth="1" style="33" min="4" max="4"/>
    <col width="50" customWidth="1" style="33" min="5" max="5"/>
    <col width="22" customWidth="1" style="33" min="6" max="6"/>
    <col width="28" customWidth="1" style="33" min="7" max="7"/>
    <col width="13" customWidth="1" style="33" min="8" max="8"/>
    <col width="15" customWidth="1" style="33" min="9" max="9"/>
    <col width="16" customWidth="1" style="33" min="10" max="10"/>
    <col width="30" customWidth="1" style="33" min="11" max="11"/>
    <col width="10" customWidth="1" style="33" min="12" max="12"/>
    <col width="18" customWidth="1" style="33" min="13" max="13"/>
    <col width="22" customWidth="1" style="33" min="14" max="14"/>
    <col width="9" customWidth="1" style="33" min="15" max="15"/>
    <col width="24" customWidth="1" style="33" min="16" max="16"/>
    <col width="14" customWidth="1" style="33" min="17" max="18"/>
    <col width="12" customWidth="1" style="33" min="19" max="19"/>
    <col width="18" customWidth="1" style="33" min="20" max="20"/>
    <col width="14" customWidth="1" style="33" min="21" max="22"/>
    <col width="13" customWidth="1" style="33" min="23" max="24"/>
    <col width="20" customWidth="1" style="33" min="25" max="25"/>
    <col width="16" customWidth="1" style="33" min="26" max="27"/>
    <col width="13" customWidth="1" style="33" min="28" max="28"/>
    <col width="16" customWidth="1" style="33" min="29" max="29"/>
    <col width="11" customWidth="1" style="33" min="30" max="30"/>
    <col width="14" customWidth="1" style="33" min="31" max="32"/>
    <col width="22" customWidth="1" style="33" min="33" max="33"/>
    <col width="20" customWidth="1" style="33" min="34" max="34"/>
    <col width="60" customWidth="1" style="33" min="35" max="36"/>
  </cols>
  <sheetData>
    <row r="1" ht="31.5" customHeight="1" s="34">
      <c r="A1" s="55" t="inlineStr">
        <is>
          <t>ID entreprise</t>
        </is>
      </c>
      <c r="B1" s="55" t="inlineStr">
        <is>
          <t>Nom de l'entreprise</t>
        </is>
      </c>
      <c r="C1" s="55" t="inlineStr">
        <is>
          <t>Domaine du site web</t>
        </is>
      </c>
      <c r="D1" s="55" t="inlineStr">
        <is>
          <t>Site web</t>
        </is>
      </c>
      <c r="E1" s="55" t="inlineStr">
        <is>
          <t>Description de l'activité</t>
        </is>
      </c>
      <c r="F1" s="55" t="inlineStr">
        <is>
          <t>Secteur d'activité</t>
        </is>
      </c>
      <c r="G1" s="55" t="inlineStr">
        <is>
          <t>Sous-secteur</t>
        </is>
      </c>
      <c r="H1" s="55" t="inlineStr">
        <is>
          <t>Segment</t>
        </is>
      </c>
      <c r="I1" s="55" t="inlineStr">
        <is>
          <t>Tranche d'effectif</t>
        </is>
      </c>
      <c r="J1" s="55" t="inlineStr">
        <is>
          <t>Chiffre d'affaires annuel (tranche)</t>
        </is>
      </c>
      <c r="K1" s="55" t="inlineStr">
        <is>
          <t>Adresse</t>
        </is>
      </c>
      <c r="L1" s="55" t="inlineStr">
        <is>
          <t>Code postal</t>
        </is>
      </c>
      <c r="M1" s="55" t="inlineStr">
        <is>
          <t>Ville</t>
        </is>
      </c>
      <c r="N1" s="55" t="inlineStr">
        <is>
          <t>Région</t>
        </is>
      </c>
      <c r="O1" s="55" t="inlineStr">
        <is>
          <t>Pays</t>
        </is>
      </c>
      <c r="P1" s="55" t="inlineStr">
        <is>
          <t>Groupe / société mère</t>
        </is>
      </c>
      <c r="Q1" s="55" t="inlineStr">
        <is>
          <t>Cotée en bourse</t>
        </is>
      </c>
      <c r="R1" s="55" t="inlineStr">
        <is>
          <t>Code bourse (Yahoo Finance)</t>
        </is>
      </c>
      <c r="S1" s="55" t="inlineStr">
        <is>
          <t>ID propriétaire</t>
        </is>
      </c>
      <c r="T1" s="56" t="inlineStr">
        <is>
          <t>Propriétaire du compte</t>
        </is>
      </c>
      <c r="U1" s="55" t="inlineStr">
        <is>
          <t>Phase du cycle de vie</t>
        </is>
      </c>
      <c r="V1" s="55" t="inlineStr">
        <is>
          <t>Statut du compte</t>
        </is>
      </c>
      <c r="W1" s="55" t="inlineStr">
        <is>
          <t>Date de création</t>
        </is>
      </c>
      <c r="X1" s="55" t="inlineStr">
        <is>
          <t>Client depuis</t>
        </is>
      </c>
      <c r="Y1" s="55" t="inlineStr">
        <is>
          <t>Source d'origine</t>
        </is>
      </c>
      <c r="Z1" s="55" t="inlineStr">
        <is>
          <t>Potentiel annuel estimé (€)</t>
        </is>
      </c>
      <c r="AA1" s="56" t="inlineStr">
        <is>
          <t>CA 12 derniers mois (€)</t>
        </is>
      </c>
      <c r="AB1" s="56" t="inlineStr">
        <is>
          <t>Transactions ouvertes</t>
        </is>
      </c>
      <c r="AC1" s="56" t="inlineStr">
        <is>
          <t>Pipeline ouvert (€)</t>
        </is>
      </c>
      <c r="AD1" s="56" t="inlineStr">
        <is>
          <t>Tickets ouverts</t>
        </is>
      </c>
      <c r="AE1" s="56" t="inlineStr">
        <is>
          <t>Date de dernière activité</t>
        </is>
      </c>
      <c r="AF1" s="56" t="inlineStr">
        <is>
          <t>Prochain rendez-vous</t>
        </is>
      </c>
      <c r="AG1" s="55" t="inlineStr">
        <is>
          <t>Concurrent principal</t>
        </is>
      </c>
      <c r="AH1" s="55" t="inlineStr">
        <is>
          <t>Conditions de paiement</t>
        </is>
      </c>
      <c r="AI1" s="55" t="inlineStr">
        <is>
          <t>Contexte client</t>
        </is>
      </c>
      <c r="AJ1" s="55" t="inlineStr">
        <is>
          <t>Enjeux et projets en cours</t>
        </is>
      </c>
    </row>
    <row r="2" ht="68.65000000000001" customHeight="1" s="34">
      <c r="A2" s="57" t="inlineStr">
        <is>
          <t>E001</t>
        </is>
      </c>
      <c r="B2" s="57" t="inlineStr">
        <is>
          <t>Bonduelle</t>
        </is>
      </c>
      <c r="C2" s="57" t="inlineStr">
        <is>
          <t>bonduelle.com</t>
        </is>
      </c>
      <c r="D2" s="61" t="inlineStr">
        <is>
          <t>https://www.bonduelle.com</t>
        </is>
      </c>
      <c r="E2" s="40" t="inlineStr">
        <is>
          <t>Groupe agroalimentaire familial spécialisé dans les légumes transformés (conserve, surgelé, frais) ; marques Bonduelle et Cassegrain.</t>
        </is>
      </c>
      <c r="F2" s="57" t="inlineStr">
        <is>
          <t>Grande consommation</t>
        </is>
      </c>
      <c r="G2" s="57" t="inlineStr">
        <is>
          <t>Légumes transformés</t>
        </is>
      </c>
      <c r="H2" s="57" t="inlineStr">
        <is>
          <t>Grand compte</t>
        </is>
      </c>
      <c r="I2" s="57" t="inlineStr">
        <is>
          <t>10 000 et plus</t>
        </is>
      </c>
      <c r="J2" s="57" t="inlineStr">
        <is>
          <t>1 - 10 Md€</t>
        </is>
      </c>
      <c r="K2" s="57" t="inlineStr">
        <is>
          <t>Rue Nicolas Appert</t>
        </is>
      </c>
      <c r="L2" s="57" t="inlineStr">
        <is>
          <t>59650</t>
        </is>
      </c>
      <c r="M2" s="57" t="inlineStr">
        <is>
          <t>Villeneuve-d'Ascq</t>
        </is>
      </c>
      <c r="N2" s="57" t="inlineStr">
        <is>
          <t>Hauts-de-France</t>
        </is>
      </c>
      <c r="O2" s="57" t="inlineStr">
        <is>
          <t>France</t>
        </is>
      </c>
      <c r="P2" s="57" t="inlineStr">
        <is>
          <t>Groupe Bonduelle</t>
        </is>
      </c>
      <c r="Q2" s="57" t="inlineStr">
        <is>
          <t>Oui</t>
        </is>
      </c>
      <c r="R2" s="57" t="inlineStr">
        <is>
          <t>BON.PA</t>
        </is>
      </c>
      <c r="S2" s="57" t="inlineStr">
        <is>
          <t>U002</t>
        </is>
      </c>
      <c r="T2" s="57">
        <f>IFERROR(INDEX(Commerciaux!$D$2:$D$3000,MATCH(S2,Commerciaux!$A$2:$A$3000,0)),"")</f>
        <v/>
      </c>
      <c r="U2" s="57" t="inlineStr">
        <is>
          <t>Client</t>
        </is>
      </c>
      <c r="V2" s="57" t="inlineStr">
        <is>
          <t>À surveiller</t>
        </is>
      </c>
      <c r="W2" s="58" t="n">
        <v>44481</v>
      </c>
      <c r="X2" s="58" t="n">
        <v>44621</v>
      </c>
      <c r="Y2" s="57" t="inlineStr">
        <is>
          <t>Salon professionnel</t>
        </is>
      </c>
      <c r="Z2" s="59" t="n">
        <v>420000</v>
      </c>
      <c r="AA2" s="59">
        <f>SUMIFS(Commandes!$K$2:$K$3000,Commandes!$D$2:$D$3000,A2,Commandes!$C$2:$C$3000,"&gt;"&amp;(DateExport-365),Commandes!$C$2:$C$3000,"&lt;="&amp;DateExport)</f>
        <v/>
      </c>
      <c r="AB2" s="60">
        <f>COUNTIFS(Transactions!$C$2:$C$3000,A2,Transactions!$N$2:$N$3000,"Ouverte")</f>
        <v/>
      </c>
      <c r="AC2" s="59">
        <f>SUMIFS(Transactions!$L$2:$L$3000,Transactions!$C$2:$C$3000,A2,Transactions!$N$2:$N$3000,"Ouverte")</f>
        <v/>
      </c>
      <c r="AD2" s="60">
        <f>COUNTIFS(Tickets!$C$2:$C$3000,A2,Tickets!$I$2:$I$3000,"&lt;&gt;Fermé")</f>
        <v/>
      </c>
      <c r="AE2" s="58">
        <f>IF(COUNTIFS(Activités!$D$2:$D$3000,A2,Activités!$B$2:$B$3000,"&lt;="&amp;DateExport)=0,"",_xlfn.MAXIFS(Activités!$B$2:$B$3000,Activités!$D$2:$D$3000,A2,Activités!$B$2:$B$3000,"&lt;="&amp;DateExport))</f>
        <v/>
      </c>
      <c r="AF2" s="58">
        <f>IF(COUNTIFS('Rendez-vous'!$F$2:$F$3000,A2,'Rendez-vous'!$B$2:$B$3000,"&gt;="&amp;DateExport)=0,"",_xlfn.MINIFS('Rendez-vous'!$B$2:$B$3000,'Rendez-vous'!$F$2:$F$3000,A2,'Rendez-vous'!$B$2:$B$3000,"&gt;="&amp;DateExport))</f>
        <v/>
      </c>
      <c r="AG2" s="57" t="inlineStr">
        <is>
          <t>Labelis Group</t>
        </is>
      </c>
      <c r="AH2" s="57" t="inlineStr">
        <is>
          <t>60 jours fin de mois</t>
        </is>
      </c>
      <c r="AI2" s="40" t="inlineStr">
        <is>
          <t>Client historique sur les étiquettes adhésives des gammes conserve. Les achats emballages sont pilotés depuis Villeneuve-d'Ascq, avec une validation qualité systématique de chaque nouvelle référence. Le groupe mène un plan de transformation centré sur la rentabilité et le désendettement : la direction achats a durci ses objectifs de réduction des coûts d'emballage.</t>
        </is>
      </c>
      <c r="AJ2" s="40" t="inlineStr">
        <is>
          <t>Renouvellement de l'accord-cadre étiquettes 2027 ; passage à des emballages mono-matériau sur deux gammes ; sécurisation des délais de livraison après le retard de septembre.</t>
        </is>
      </c>
    </row>
    <row r="3" ht="57.45" customHeight="1" s="34">
      <c r="A3" s="57" t="inlineStr">
        <is>
          <t>E002</t>
        </is>
      </c>
      <c r="B3" s="57" t="inlineStr">
        <is>
          <t>Lesaffre</t>
        </is>
      </c>
      <c r="C3" s="57" t="inlineStr">
        <is>
          <t>lesaffre.com</t>
        </is>
      </c>
      <c r="D3" s="61" t="inlineStr">
        <is>
          <t>https://www.lesaffre.com</t>
        </is>
      </c>
      <c r="E3" s="40" t="inlineStr">
        <is>
          <t>Groupe familial, leader mondial des levures et ferments pour la panification, la nutrition, la santé et les biotechnologies.</t>
        </is>
      </c>
      <c r="F3" s="57" t="inlineStr">
        <is>
          <t>Grande consommation</t>
        </is>
      </c>
      <c r="G3" s="57" t="inlineStr">
        <is>
          <t>Ingrédients et levures</t>
        </is>
      </c>
      <c r="H3" s="57" t="inlineStr">
        <is>
          <t>Grand compte</t>
        </is>
      </c>
      <c r="I3" s="57" t="inlineStr">
        <is>
          <t>10 000 et plus</t>
        </is>
      </c>
      <c r="J3" s="57" t="inlineStr">
        <is>
          <t>1 - 10 Md€</t>
        </is>
      </c>
      <c r="K3" s="57" t="inlineStr">
        <is>
          <t>137 rue Gabriel Péri</t>
        </is>
      </c>
      <c r="L3" s="57" t="inlineStr">
        <is>
          <t>59700</t>
        </is>
      </c>
      <c r="M3" s="57" t="inlineStr">
        <is>
          <t>Marcq-en-Barœul</t>
        </is>
      </c>
      <c r="N3" s="57" t="inlineStr">
        <is>
          <t>Hauts-de-France</t>
        </is>
      </c>
      <c r="O3" s="57" t="inlineStr">
        <is>
          <t>France</t>
        </is>
      </c>
      <c r="P3" s="57" t="inlineStr">
        <is>
          <t>Groupe Lesaffre</t>
        </is>
      </c>
      <c r="Q3" s="57" t="inlineStr">
        <is>
          <t>Non</t>
        </is>
      </c>
      <c r="R3" s="57" t="n"/>
      <c r="S3" s="57" t="inlineStr">
        <is>
          <t>U002</t>
        </is>
      </c>
      <c r="T3" s="57">
        <f>IFERROR(INDEX(Commerciaux!$D$2:$D$3000,MATCH(S3,Commerciaux!$A$2:$A$3000,0)),"")</f>
        <v/>
      </c>
      <c r="U3" s="57" t="inlineStr">
        <is>
          <t>Client</t>
        </is>
      </c>
      <c r="V3" s="57" t="inlineStr">
        <is>
          <t>Actif</t>
        </is>
      </c>
      <c r="W3" s="58" t="n">
        <v>44684</v>
      </c>
      <c r="X3" s="58" t="n">
        <v>44880</v>
      </c>
      <c r="Y3" s="57" t="inlineStr">
        <is>
          <t>Prospection terrain</t>
        </is>
      </c>
      <c r="Z3" s="59" t="n">
        <v>380000</v>
      </c>
      <c r="AA3" s="59">
        <f>SUMIFS(Commandes!$K$2:$K$3000,Commandes!$D$2:$D$3000,A3,Commandes!$C$2:$C$3000,"&gt;"&amp;(DateExport-365),Commandes!$C$2:$C$3000,"&lt;="&amp;DateExport)</f>
        <v/>
      </c>
      <c r="AB3" s="60">
        <f>COUNTIFS(Transactions!$C$2:$C$3000,A3,Transactions!$N$2:$N$3000,"Ouverte")</f>
        <v/>
      </c>
      <c r="AC3" s="59">
        <f>SUMIFS(Transactions!$L$2:$L$3000,Transactions!$C$2:$C$3000,A3,Transactions!$N$2:$N$3000,"Ouverte")</f>
        <v/>
      </c>
      <c r="AD3" s="60">
        <f>COUNTIFS(Tickets!$C$2:$C$3000,A3,Tickets!$I$2:$I$3000,"&lt;&gt;Fermé")</f>
        <v/>
      </c>
      <c r="AE3" s="58">
        <f>IF(COUNTIFS(Activités!$D$2:$D$3000,A3,Activités!$B$2:$B$3000,"&lt;="&amp;DateExport)=0,"",_xlfn.MAXIFS(Activités!$B$2:$B$3000,Activités!$D$2:$D$3000,A3,Activités!$B$2:$B$3000,"&lt;="&amp;DateExport))</f>
        <v/>
      </c>
      <c r="AF3" s="58">
        <f>IF(COUNTIFS('Rendez-vous'!$F$2:$F$3000,A3,'Rendez-vous'!$B$2:$B$3000,"&gt;="&amp;DateExport)=0,"",_xlfn.MINIFS('Rendez-vous'!$B$2:$B$3000,'Rendez-vous'!$F$2:$F$3000,A3,'Rendez-vous'!$B$2:$B$3000,"&gt;="&amp;DateExport))</f>
        <v/>
      </c>
      <c r="AG3" s="57" t="inlineStr">
        <is>
          <t>Emballor Industries</t>
        </is>
      </c>
      <c r="AH3" s="57" t="inlineStr">
        <is>
          <t>45 jours fin de mois</t>
        </is>
      </c>
      <c r="AI3" s="40" t="inlineStr">
        <is>
          <t>Client sur les caisses carton et les étiquettes. Groupe familial en croissance qui investit dans de nouvelles capacités industrielles, en France comme à l'international. Relation construite avec le service achats ; l'arrivée d'un nouveau directeur industriel en 2026 ouvre la discussion sur l'automatisation des fins de ligne.</t>
        </is>
      </c>
      <c r="AJ3" s="40" t="inlineStr">
        <is>
          <t>Automatiser la mise en carton d'une ligne de levure sèche ; réduire la pénibilité au poste de palettisation ; décision d'investissement attendue avant la clôture budgétaire de fin d'année.</t>
        </is>
      </c>
    </row>
    <row r="4" ht="68.65000000000001" customHeight="1" s="34">
      <c r="A4" s="57" t="inlineStr">
        <is>
          <t>E003</t>
        </is>
      </c>
      <c r="B4" s="57" t="inlineStr">
        <is>
          <t>Guerbet</t>
        </is>
      </c>
      <c r="C4" s="57" t="inlineStr">
        <is>
          <t>guerbet.com</t>
        </is>
      </c>
      <c r="D4" s="61" t="inlineStr">
        <is>
          <t>https://www.guerbet.com</t>
        </is>
      </c>
      <c r="E4" s="40" t="inlineStr">
        <is>
          <t>Laboratoire pharmaceutique spécialiste des produits de contraste pour l'imagerie médicale et de la radiologie interventionnelle.</t>
        </is>
      </c>
      <c r="F4" s="57" t="inlineStr">
        <is>
          <t>Pharmaceutique et santé</t>
        </is>
      </c>
      <c r="G4" s="57" t="inlineStr">
        <is>
          <t>Imagerie médicale</t>
        </is>
      </c>
      <c r="H4" s="57" t="inlineStr">
        <is>
          <t>ETI</t>
        </is>
      </c>
      <c r="I4" s="57" t="inlineStr">
        <is>
          <t>1 000 - 4 999</t>
        </is>
      </c>
      <c r="J4" s="57" t="inlineStr">
        <is>
          <t>100 M€ - 1 Md€</t>
        </is>
      </c>
      <c r="K4" s="57" t="inlineStr">
        <is>
          <t>15 rue des Vanesses</t>
        </is>
      </c>
      <c r="L4" s="57" t="inlineStr">
        <is>
          <t>93420</t>
        </is>
      </c>
      <c r="M4" s="57" t="inlineStr">
        <is>
          <t>Villepinte</t>
        </is>
      </c>
      <c r="N4" s="57" t="inlineStr">
        <is>
          <t>Île-de-France</t>
        </is>
      </c>
      <c r="O4" s="57" t="inlineStr">
        <is>
          <t>France</t>
        </is>
      </c>
      <c r="P4" s="57" t="inlineStr">
        <is>
          <t>Groupe Guerbet</t>
        </is>
      </c>
      <c r="Q4" s="57" t="inlineStr">
        <is>
          <t>Oui</t>
        </is>
      </c>
      <c r="R4" s="57" t="inlineStr">
        <is>
          <t>GBT.PA</t>
        </is>
      </c>
      <c r="S4" s="57" t="inlineStr">
        <is>
          <t>U002</t>
        </is>
      </c>
      <c r="T4" s="57">
        <f>IFERROR(INDEX(Commerciaux!$D$2:$D$3000,MATCH(S4,Commerciaux!$A$2:$A$3000,0)),"")</f>
        <v/>
      </c>
      <c r="U4" s="57" t="inlineStr">
        <is>
          <t>Client</t>
        </is>
      </c>
      <c r="V4" s="57" t="inlineStr">
        <is>
          <t>À risque</t>
        </is>
      </c>
      <c r="W4" s="58" t="n">
        <v>43871</v>
      </c>
      <c r="X4" s="58" t="n">
        <v>44075</v>
      </c>
      <c r="Y4" s="57" t="inlineStr">
        <is>
          <t>Recommandation</t>
        </is>
      </c>
      <c r="Z4" s="59" t="n">
        <v>260000</v>
      </c>
      <c r="AA4" s="59">
        <f>SUMIFS(Commandes!$K$2:$K$3000,Commandes!$D$2:$D$3000,A4,Commandes!$C$2:$C$3000,"&gt;"&amp;(DateExport-365),Commandes!$C$2:$C$3000,"&lt;="&amp;DateExport)</f>
        <v/>
      </c>
      <c r="AB4" s="60">
        <f>COUNTIFS(Transactions!$C$2:$C$3000,A4,Transactions!$N$2:$N$3000,"Ouverte")</f>
        <v/>
      </c>
      <c r="AC4" s="59">
        <f>SUMIFS(Transactions!$L$2:$L$3000,Transactions!$C$2:$C$3000,A4,Transactions!$N$2:$N$3000,"Ouverte")</f>
        <v/>
      </c>
      <c r="AD4" s="60">
        <f>COUNTIFS(Tickets!$C$2:$C$3000,A4,Tickets!$I$2:$I$3000,"&lt;&gt;Fermé")</f>
        <v/>
      </c>
      <c r="AE4" s="58">
        <f>IF(COUNTIFS(Activités!$D$2:$D$3000,A4,Activités!$B$2:$B$3000,"&lt;="&amp;DateExport)=0,"",_xlfn.MAXIFS(Activités!$B$2:$B$3000,Activités!$D$2:$D$3000,A4,Activités!$B$2:$B$3000,"&lt;="&amp;DateExport))</f>
        <v/>
      </c>
      <c r="AF4" s="58">
        <f>IF(COUNTIFS('Rendez-vous'!$F$2:$F$3000,A4,'Rendez-vous'!$B$2:$B$3000,"&gt;="&amp;DateExport)=0,"",_xlfn.MINIFS('Rendez-vous'!$B$2:$B$3000,'Rendez-vous'!$F$2:$F$3000,A4,'Rendez-vous'!$B$2:$B$3000,"&gt;="&amp;DateExport))</f>
        <v/>
      </c>
      <c r="AG4" s="57" t="inlineStr">
        <is>
          <t>Kartéa Pharma Pack</t>
        </is>
      </c>
      <c r="AH4" s="57" t="inlineStr">
        <is>
          <t>60 jours</t>
        </is>
      </c>
      <c r="AI4" s="40" t="inlineStr">
        <is>
          <t>Client sur les étuis et notices pharmaceutiques. Exigences qualité très élevées et audits fournisseurs annuels. Le groupe traverse une période difficile (plan de transformation, réduction des coûts, changement de direction générale) : les achats renégocient les contrats fournisseurs et la qualité est sous surveillance renforcée. Une non-conformité d'impression en juin 2026 a fragilisé la relation.</t>
        </is>
      </c>
      <c r="AJ4" s="40" t="inlineStr">
        <is>
          <t>Restaurer la confiance après l'incident qualité de juin ; réussir l'audit fournisseur de novembre ; projet de refonte des notices multilingues pour 2027.</t>
        </is>
      </c>
    </row>
    <row r="5" ht="23.85" customHeight="1" s="34">
      <c r="A5" s="57" t="inlineStr">
        <is>
          <t>E004</t>
        </is>
      </c>
      <c r="B5" s="57" t="inlineStr">
        <is>
          <t>Interparfums</t>
        </is>
      </c>
      <c r="C5" s="57" t="inlineStr">
        <is>
          <t>interparfums.fr</t>
        </is>
      </c>
      <c r="D5" s="61" t="inlineStr">
        <is>
          <t>https://www.interparfums.fr</t>
        </is>
      </c>
      <c r="E5" s="40" t="inlineStr">
        <is>
          <t>Créateur et distributeur de parfums sous licence et marques propres (Montblanc, Jimmy Choo, Coach, Lacoste, Lanvin).</t>
        </is>
      </c>
      <c r="F5" s="57" t="inlineStr">
        <is>
          <t>Grande consommation</t>
        </is>
      </c>
      <c r="G5" s="57" t="inlineStr">
        <is>
          <t>Parfums et cosmétiques</t>
        </is>
      </c>
      <c r="H5" s="57" t="inlineStr">
        <is>
          <t>ETI</t>
        </is>
      </c>
      <c r="I5" s="57" t="inlineStr">
        <is>
          <t>250 - 999</t>
        </is>
      </c>
      <c r="J5" s="57" t="inlineStr">
        <is>
          <t>100 M€ - 1 Md€</t>
        </is>
      </c>
      <c r="K5" s="57" t="inlineStr">
        <is>
          <t>10 rue de Solférino</t>
        </is>
      </c>
      <c r="L5" s="57" t="inlineStr">
        <is>
          <t>75007</t>
        </is>
      </c>
      <c r="M5" s="57" t="inlineStr">
        <is>
          <t>Paris</t>
        </is>
      </c>
      <c r="N5" s="57" t="inlineStr">
        <is>
          <t>Île-de-France</t>
        </is>
      </c>
      <c r="O5" s="57" t="inlineStr">
        <is>
          <t>France</t>
        </is>
      </c>
      <c r="P5" s="57" t="inlineStr">
        <is>
          <t>Interparfums</t>
        </is>
      </c>
      <c r="Q5" s="57" t="inlineStr">
        <is>
          <t>Oui</t>
        </is>
      </c>
      <c r="R5" s="57" t="inlineStr">
        <is>
          <t>ITP.PA</t>
        </is>
      </c>
      <c r="S5" s="57" t="inlineStr">
        <is>
          <t>U002</t>
        </is>
      </c>
      <c r="T5" s="57">
        <f>IFERROR(INDEX(Commerciaux!$D$2:$D$3000,MATCH(S5,Commerciaux!$A$2:$A$3000,0)),"")</f>
        <v/>
      </c>
      <c r="U5" s="57" t="inlineStr">
        <is>
          <t>Client</t>
        </is>
      </c>
      <c r="V5" s="57" t="inlineStr">
        <is>
          <t>Actif</t>
        </is>
      </c>
      <c r="W5" s="58" t="n">
        <v>44942</v>
      </c>
      <c r="X5" s="58" t="n">
        <v>45082</v>
      </c>
      <c r="Y5" s="57" t="inlineStr">
        <is>
          <t>Salon professionnel</t>
        </is>
      </c>
      <c r="Z5" s="59" t="n">
        <v>210000</v>
      </c>
      <c r="AA5" s="59">
        <f>SUMIFS(Commandes!$K$2:$K$3000,Commandes!$D$2:$D$3000,A5,Commandes!$C$2:$C$3000,"&gt;"&amp;(DateExport-365),Commandes!$C$2:$C$3000,"&lt;="&amp;DateExport)</f>
        <v/>
      </c>
      <c r="AB5" s="60">
        <f>COUNTIFS(Transactions!$C$2:$C$3000,A5,Transactions!$N$2:$N$3000,"Ouverte")</f>
        <v/>
      </c>
      <c r="AC5" s="59">
        <f>SUMIFS(Transactions!$L$2:$L$3000,Transactions!$C$2:$C$3000,A5,Transactions!$N$2:$N$3000,"Ouverte")</f>
        <v/>
      </c>
      <c r="AD5" s="60">
        <f>COUNTIFS(Tickets!$C$2:$C$3000,A5,Tickets!$I$2:$I$3000,"&lt;&gt;Fermé")</f>
        <v/>
      </c>
      <c r="AE5" s="58">
        <f>IF(COUNTIFS(Activités!$D$2:$D$3000,A5,Activités!$B$2:$B$3000,"&lt;="&amp;DateExport)=0,"",_xlfn.MAXIFS(Activités!$B$2:$B$3000,Activités!$D$2:$D$3000,A5,Activités!$B$2:$B$3000,"&lt;="&amp;DateExport))</f>
        <v/>
      </c>
      <c r="AF5" s="58">
        <f>IF(COUNTIFS('Rendez-vous'!$F$2:$F$3000,A5,'Rendez-vous'!$B$2:$B$3000,"&gt;="&amp;DateExport)=0,"",_xlfn.MINIFS('Rendez-vous'!$B$2:$B$3000,'Rendez-vous'!$F$2:$F$3000,A5,'Rendez-vous'!$B$2:$B$3000,"&gt;="&amp;DateExport))</f>
        <v/>
      </c>
      <c r="AG5" s="57" t="inlineStr">
        <is>
          <t>Cartonnages Vauclair</t>
        </is>
      </c>
      <c r="AH5" s="57" t="inlineStr">
        <is>
          <t>60 jours</t>
        </is>
      </c>
      <c r="AI5" s="40" t="inlineStr">
        <is>
          <t>Client sur les coffrets rigides premium des éditions de fin d'année. Commandes très saisonnières, concentrées entre mai et septembre.</t>
        </is>
      </c>
      <c r="AJ5" s="40" t="inlineStr">
        <is>
          <t>Préparation des éditions limitées 2027 ; intérêt marqué pour des coffrets sans calage plastique.</t>
        </is>
      </c>
    </row>
    <row r="6" ht="23.85" customHeight="1" s="34">
      <c r="A6" s="57" t="inlineStr">
        <is>
          <t>E005</t>
        </is>
      </c>
      <c r="B6" s="57" t="inlineStr">
        <is>
          <t>Clarins</t>
        </is>
      </c>
      <c r="C6" s="57" t="inlineStr">
        <is>
          <t>clarins.com</t>
        </is>
      </c>
      <c r="D6" s="61" t="inlineStr">
        <is>
          <t>https://www.clarins.com</t>
        </is>
      </c>
      <c r="E6" s="40" t="inlineStr">
        <is>
          <t>Groupe familial de cosmétiques de soin et de maquillage.</t>
        </is>
      </c>
      <c r="F6" s="57" t="inlineStr">
        <is>
          <t>Grande consommation</t>
        </is>
      </c>
      <c r="G6" s="57" t="inlineStr">
        <is>
          <t>Cosmétiques de soin</t>
        </is>
      </c>
      <c r="H6" s="57" t="inlineStr">
        <is>
          <t>Grand compte</t>
        </is>
      </c>
      <c r="I6" s="57" t="inlineStr">
        <is>
          <t>5 000 - 9 999</t>
        </is>
      </c>
      <c r="J6" s="57" t="inlineStr">
        <is>
          <t>1 - 10 Md€</t>
        </is>
      </c>
      <c r="K6" s="57" t="inlineStr">
        <is>
          <t>9 rue du Commandant Pilot</t>
        </is>
      </c>
      <c r="L6" s="57" t="inlineStr">
        <is>
          <t>92200</t>
        </is>
      </c>
      <c r="M6" s="57" t="inlineStr">
        <is>
          <t>Neuilly-sur-Seine</t>
        </is>
      </c>
      <c r="N6" s="57" t="inlineStr">
        <is>
          <t>Île-de-France</t>
        </is>
      </c>
      <c r="O6" s="57" t="inlineStr">
        <is>
          <t>France</t>
        </is>
      </c>
      <c r="P6" s="57" t="inlineStr">
        <is>
          <t>Groupe Clarins</t>
        </is>
      </c>
      <c r="Q6" s="57" t="inlineStr">
        <is>
          <t>Non</t>
        </is>
      </c>
      <c r="R6" s="57" t="n"/>
      <c r="S6" s="57" t="inlineStr">
        <is>
          <t>U002</t>
        </is>
      </c>
      <c r="T6" s="57">
        <f>IFERROR(INDEX(Commerciaux!$D$2:$D$3000,MATCH(S6,Commerciaux!$A$2:$A$3000,0)),"")</f>
        <v/>
      </c>
      <c r="U6" s="57" t="inlineStr">
        <is>
          <t>Opportunité</t>
        </is>
      </c>
      <c r="V6" s="57" t="inlineStr">
        <is>
          <t>En développement</t>
        </is>
      </c>
      <c r="W6" s="58" t="n">
        <v>45981</v>
      </c>
      <c r="X6" s="58" t="n"/>
      <c r="Y6" s="57" t="inlineStr">
        <is>
          <t>Site web</t>
        </is>
      </c>
      <c r="Z6" s="59" t="n">
        <v>300000</v>
      </c>
      <c r="AA6" s="59">
        <f>SUMIFS(Commandes!$K$2:$K$3000,Commandes!$D$2:$D$3000,A6,Commandes!$C$2:$C$3000,"&gt;"&amp;(DateExport-365),Commandes!$C$2:$C$3000,"&lt;="&amp;DateExport)</f>
        <v/>
      </c>
      <c r="AB6" s="60">
        <f>COUNTIFS(Transactions!$C$2:$C$3000,A6,Transactions!$N$2:$N$3000,"Ouverte")</f>
        <v/>
      </c>
      <c r="AC6" s="59">
        <f>SUMIFS(Transactions!$L$2:$L$3000,Transactions!$C$2:$C$3000,A6,Transactions!$N$2:$N$3000,"Ouverte")</f>
        <v/>
      </c>
      <c r="AD6" s="60">
        <f>COUNTIFS(Tickets!$C$2:$C$3000,A6,Tickets!$I$2:$I$3000,"&lt;&gt;Fermé")</f>
        <v/>
      </c>
      <c r="AE6" s="58">
        <f>IF(COUNTIFS(Activités!$D$2:$D$3000,A6,Activités!$B$2:$B$3000,"&lt;="&amp;DateExport)=0,"",_xlfn.MAXIFS(Activités!$B$2:$B$3000,Activités!$D$2:$D$3000,A6,Activités!$B$2:$B$3000,"&lt;="&amp;DateExport))</f>
        <v/>
      </c>
      <c r="AF6" s="58">
        <f>IF(COUNTIFS('Rendez-vous'!$F$2:$F$3000,A6,'Rendez-vous'!$B$2:$B$3000,"&gt;="&amp;DateExport)=0,"",_xlfn.MINIFS('Rendez-vous'!$B$2:$B$3000,'Rendez-vous'!$F$2:$F$3000,A6,'Rendez-vous'!$B$2:$B$3000,"&gt;="&amp;DateExport))</f>
        <v/>
      </c>
      <c r="AG6" s="57" t="inlineStr">
        <is>
          <t>Cartonnages Vauclair</t>
        </is>
      </c>
      <c r="AH6" s="57" t="inlineStr">
        <is>
          <t>60 jours</t>
        </is>
      </c>
      <c r="AI6" s="40" t="inlineStr">
        <is>
          <t>Demande entrante via le site web. Clarins cherche un second fournisseur d'étuis pour sécuriser ses approvisionnements.</t>
        </is>
      </c>
      <c r="AJ6" s="40" t="inlineStr">
        <is>
          <t>Référencement comme second fournisseur d'étuis ; exigences fortes sur l'éco-conception et la traçabilité des fibres.</t>
        </is>
      </c>
    </row>
    <row r="7" ht="23.85" customHeight="1" s="34">
      <c r="A7" s="57" t="inlineStr">
        <is>
          <t>E006</t>
        </is>
      </c>
      <c r="B7" s="57" t="inlineStr">
        <is>
          <t>Imerys</t>
        </is>
      </c>
      <c r="C7" s="57" t="inlineStr">
        <is>
          <t>imerys.com</t>
        </is>
      </c>
      <c r="D7" s="61" t="inlineStr">
        <is>
          <t>https://www.imerys.com</t>
        </is>
      </c>
      <c r="E7" s="40" t="inlineStr">
        <is>
          <t>Leader mondial des spécialités minérales pour l'industrie.</t>
        </is>
      </c>
      <c r="F7" s="57" t="inlineStr">
        <is>
          <t>Équipements et matériaux</t>
        </is>
      </c>
      <c r="G7" s="57" t="inlineStr">
        <is>
          <t>Minéraux industriels</t>
        </is>
      </c>
      <c r="H7" s="57" t="inlineStr">
        <is>
          <t>Grand compte</t>
        </is>
      </c>
      <c r="I7" s="57" t="inlineStr">
        <is>
          <t>10 000 et plus</t>
        </is>
      </c>
      <c r="J7" s="57" t="inlineStr">
        <is>
          <t>1 - 10 Md€</t>
        </is>
      </c>
      <c r="K7" s="57" t="inlineStr">
        <is>
          <t>43 quai de Grenelle</t>
        </is>
      </c>
      <c r="L7" s="57" t="inlineStr">
        <is>
          <t>75015</t>
        </is>
      </c>
      <c r="M7" s="57" t="inlineStr">
        <is>
          <t>Paris</t>
        </is>
      </c>
      <c r="N7" s="57" t="inlineStr">
        <is>
          <t>Île-de-France</t>
        </is>
      </c>
      <c r="O7" s="57" t="inlineStr">
        <is>
          <t>France</t>
        </is>
      </c>
      <c r="P7" s="57" t="inlineStr">
        <is>
          <t>Groupe Imerys</t>
        </is>
      </c>
      <c r="Q7" s="57" t="inlineStr">
        <is>
          <t>Oui</t>
        </is>
      </c>
      <c r="R7" s="57" t="inlineStr">
        <is>
          <t>NK.PA</t>
        </is>
      </c>
      <c r="S7" s="57" t="inlineStr">
        <is>
          <t>U002</t>
        </is>
      </c>
      <c r="T7" s="57">
        <f>IFERROR(INDEX(Commerciaux!$D$2:$D$3000,MATCH(S7,Commerciaux!$A$2:$A$3000,0)),"")</f>
        <v/>
      </c>
      <c r="U7" s="57" t="inlineStr">
        <is>
          <t>Prospect</t>
        </is>
      </c>
      <c r="V7" s="57" t="inlineStr">
        <is>
          <t>Nouveau</t>
        </is>
      </c>
      <c r="W7" s="58" t="n">
        <v>46262</v>
      </c>
      <c r="X7" s="58" t="n"/>
      <c r="Y7" s="57" t="inlineStr">
        <is>
          <t>Prospection téléphonique</t>
        </is>
      </c>
      <c r="Z7" s="59" t="n">
        <v>150000</v>
      </c>
      <c r="AA7" s="59">
        <f>SUMIFS(Commandes!$K$2:$K$3000,Commandes!$D$2:$D$3000,A7,Commandes!$C$2:$C$3000,"&gt;"&amp;(DateExport-365),Commandes!$C$2:$C$3000,"&lt;="&amp;DateExport)</f>
        <v/>
      </c>
      <c r="AB7" s="60">
        <f>COUNTIFS(Transactions!$C$2:$C$3000,A7,Transactions!$N$2:$N$3000,"Ouverte")</f>
        <v/>
      </c>
      <c r="AC7" s="59">
        <f>SUMIFS(Transactions!$L$2:$L$3000,Transactions!$C$2:$C$3000,A7,Transactions!$N$2:$N$3000,"Ouverte")</f>
        <v/>
      </c>
      <c r="AD7" s="60">
        <f>COUNTIFS(Tickets!$C$2:$C$3000,A7,Tickets!$I$2:$I$3000,"&lt;&gt;Fermé")</f>
        <v/>
      </c>
      <c r="AE7" s="58">
        <f>IF(COUNTIFS(Activités!$D$2:$D$3000,A7,Activités!$B$2:$B$3000,"&lt;="&amp;DateExport)=0,"",_xlfn.MAXIFS(Activités!$B$2:$B$3000,Activités!$D$2:$D$3000,A7,Activités!$B$2:$B$3000,"&lt;="&amp;DateExport))</f>
        <v/>
      </c>
      <c r="AF7" s="58">
        <f>IF(COUNTIFS('Rendez-vous'!$F$2:$F$3000,A7,'Rendez-vous'!$B$2:$B$3000,"&gt;="&amp;DateExport)=0,"",_xlfn.MINIFS('Rendez-vous'!$B$2:$B$3000,'Rendez-vous'!$F$2:$F$3000,A7,'Rendez-vous'!$B$2:$B$3000,"&gt;="&amp;DateExport))</f>
        <v/>
      </c>
      <c r="AG7" s="57" t="n"/>
      <c r="AH7" s="57" t="inlineStr">
        <is>
          <t>60 jours</t>
        </is>
      </c>
      <c r="AI7" s="40" t="inlineStr">
        <is>
          <t>Prospect identifié par prospection téléphonique : besoin potentiel d'emballages de transport pour des minéraux en poudre.</t>
        </is>
      </c>
      <c r="AJ7" s="40" t="inlineStr">
        <is>
          <t>Qualifier le besoin, les volumes et le décideur achats.</t>
        </is>
      </c>
    </row>
    <row r="8" ht="23.85" customHeight="1" s="34">
      <c r="A8" s="57" t="inlineStr">
        <is>
          <t>E007</t>
        </is>
      </c>
      <c r="B8" s="57" t="inlineStr">
        <is>
          <t>Nexans</t>
        </is>
      </c>
      <c r="C8" s="57" t="inlineStr">
        <is>
          <t>nexans.com</t>
        </is>
      </c>
      <c r="D8" s="61" t="inlineStr">
        <is>
          <t>https://www.nexans.com</t>
        </is>
      </c>
      <c r="E8" s="40" t="inlineStr">
        <is>
          <t>Fabricant de câbles et de solutions de câblage pour l'électrification (réseaux, bâtiment, industrie).</t>
        </is>
      </c>
      <c r="F8" s="57" t="inlineStr">
        <is>
          <t>Équipements et matériaux</t>
        </is>
      </c>
      <c r="G8" s="57" t="inlineStr">
        <is>
          <t>Câbles et systèmes de câblage</t>
        </is>
      </c>
      <c r="H8" s="57" t="inlineStr">
        <is>
          <t>Grand compte</t>
        </is>
      </c>
      <c r="I8" s="57" t="inlineStr">
        <is>
          <t>10 000 et plus</t>
        </is>
      </c>
      <c r="J8" s="57" t="inlineStr">
        <is>
          <t>1 - 10 Md€</t>
        </is>
      </c>
      <c r="K8" s="57" t="inlineStr">
        <is>
          <t>4 allée de l'Arche</t>
        </is>
      </c>
      <c r="L8" s="57" t="inlineStr">
        <is>
          <t>92400</t>
        </is>
      </c>
      <c r="M8" s="57" t="inlineStr">
        <is>
          <t>Courbevoie</t>
        </is>
      </c>
      <c r="N8" s="57" t="inlineStr">
        <is>
          <t>Île-de-France</t>
        </is>
      </c>
      <c r="O8" s="57" t="inlineStr">
        <is>
          <t>France</t>
        </is>
      </c>
      <c r="P8" s="57" t="inlineStr">
        <is>
          <t>Groupe Nexans</t>
        </is>
      </c>
      <c r="Q8" s="57" t="inlineStr">
        <is>
          <t>Oui</t>
        </is>
      </c>
      <c r="R8" s="57" t="inlineStr">
        <is>
          <t>NEX.PA</t>
        </is>
      </c>
      <c r="S8" s="57" t="inlineStr">
        <is>
          <t>U002</t>
        </is>
      </c>
      <c r="T8" s="57">
        <f>IFERROR(INDEX(Commerciaux!$D$2:$D$3000,MATCH(S8,Commerciaux!$A$2:$A$3000,0)),"")</f>
        <v/>
      </c>
      <c r="U8" s="57" t="inlineStr">
        <is>
          <t>Client</t>
        </is>
      </c>
      <c r="V8" s="57" t="inlineStr">
        <is>
          <t>Actif</t>
        </is>
      </c>
      <c r="W8" s="58" t="n">
        <v>45027</v>
      </c>
      <c r="X8" s="58" t="n">
        <v>45201</v>
      </c>
      <c r="Y8" s="57" t="inlineStr">
        <is>
          <t>Recommandation</t>
        </is>
      </c>
      <c r="Z8" s="59" t="n">
        <v>180000</v>
      </c>
      <c r="AA8" s="59">
        <f>SUMIFS(Commandes!$K$2:$K$3000,Commandes!$D$2:$D$3000,A8,Commandes!$C$2:$C$3000,"&gt;"&amp;(DateExport-365),Commandes!$C$2:$C$3000,"&lt;="&amp;DateExport)</f>
        <v/>
      </c>
      <c r="AB8" s="60">
        <f>COUNTIFS(Transactions!$C$2:$C$3000,A8,Transactions!$N$2:$N$3000,"Ouverte")</f>
        <v/>
      </c>
      <c r="AC8" s="59">
        <f>SUMIFS(Transactions!$L$2:$L$3000,Transactions!$C$2:$C$3000,A8,Transactions!$N$2:$N$3000,"Ouverte")</f>
        <v/>
      </c>
      <c r="AD8" s="60">
        <f>COUNTIFS(Tickets!$C$2:$C$3000,A8,Tickets!$I$2:$I$3000,"&lt;&gt;Fermé")</f>
        <v/>
      </c>
      <c r="AE8" s="58">
        <f>IF(COUNTIFS(Activités!$D$2:$D$3000,A8,Activités!$B$2:$B$3000,"&lt;="&amp;DateExport)=0,"",_xlfn.MAXIFS(Activités!$B$2:$B$3000,Activités!$D$2:$D$3000,A8,Activités!$B$2:$B$3000,"&lt;="&amp;DateExport))</f>
        <v/>
      </c>
      <c r="AF8" s="58">
        <f>IF(COUNTIFS('Rendez-vous'!$F$2:$F$3000,A8,'Rendez-vous'!$B$2:$B$3000,"&gt;="&amp;DateExport)=0,"",_xlfn.MINIFS('Rendez-vous'!$B$2:$B$3000,'Rendez-vous'!$F$2:$F$3000,A8,'Rendez-vous'!$B$2:$B$3000,"&gt;="&amp;DateExport))</f>
        <v/>
      </c>
      <c r="AG8" s="57" t="inlineStr">
        <is>
          <t>Emballor Industries</t>
        </is>
      </c>
      <c r="AH8" s="57" t="inlineStr">
        <is>
          <t>60 jours</t>
        </is>
      </c>
      <c r="AI8" s="40" t="inlineStr">
        <is>
          <t>Client sur les caisses carton personnalisées et l'étiquetage logistique des accessoires de câblage.</t>
        </is>
      </c>
      <c r="AJ8" s="40" t="inlineStr">
        <is>
          <t>Réduction des emballages de transport ; harmonisation des étiquettes logistiques entre trois sites français.</t>
        </is>
      </c>
    </row>
    <row r="9" ht="23.85" customHeight="1" s="34">
      <c r="A9" s="57" t="inlineStr">
        <is>
          <t>E008</t>
        </is>
      </c>
      <c r="B9" s="57" t="inlineStr">
        <is>
          <t>Moët &amp; Chandon</t>
        </is>
      </c>
      <c r="C9" s="57" t="inlineStr">
        <is>
          <t>moet.com</t>
        </is>
      </c>
      <c r="D9" s="61" t="inlineStr">
        <is>
          <t>https://www.moet.com</t>
        </is>
      </c>
      <c r="E9" s="40" t="inlineStr">
        <is>
          <t>Maison de champagne du groupe LVMH (Moët Hennessy).</t>
        </is>
      </c>
      <c r="F9" s="57" t="inlineStr">
        <is>
          <t>Vins et spiritueux</t>
        </is>
      </c>
      <c r="G9" s="57" t="inlineStr">
        <is>
          <t>Champagne</t>
        </is>
      </c>
      <c r="H9" s="57" t="inlineStr">
        <is>
          <t>Grand compte</t>
        </is>
      </c>
      <c r="I9" s="57" t="inlineStr">
        <is>
          <t>1 000 - 4 999</t>
        </is>
      </c>
      <c r="J9" s="57" t="inlineStr">
        <is>
          <t>Non publié (filiale)</t>
        </is>
      </c>
      <c r="K9" s="57" t="inlineStr">
        <is>
          <t>20 avenue de Champagne</t>
        </is>
      </c>
      <c r="L9" s="57" t="inlineStr">
        <is>
          <t>51200</t>
        </is>
      </c>
      <c r="M9" s="57" t="inlineStr">
        <is>
          <t>Épernay</t>
        </is>
      </c>
      <c r="N9" s="57" t="inlineStr">
        <is>
          <t>Grand Est</t>
        </is>
      </c>
      <c r="O9" s="57" t="inlineStr">
        <is>
          <t>France</t>
        </is>
      </c>
      <c r="P9" s="57" t="inlineStr">
        <is>
          <t>LVMH (Moët Hennessy)</t>
        </is>
      </c>
      <c r="Q9" s="57" t="inlineStr">
        <is>
          <t>Oui (via le groupe)</t>
        </is>
      </c>
      <c r="R9" s="57" t="inlineStr">
        <is>
          <t>MC.PA</t>
        </is>
      </c>
      <c r="S9" s="57" t="inlineStr">
        <is>
          <t>U003</t>
        </is>
      </c>
      <c r="T9" s="57">
        <f>IFERROR(INDEX(Commerciaux!$D$2:$D$3000,MATCH(S9,Commerciaux!$A$2:$A$3000,0)),"")</f>
        <v/>
      </c>
      <c r="U9" s="57" t="inlineStr">
        <is>
          <t>Client</t>
        </is>
      </c>
      <c r="V9" s="57" t="inlineStr">
        <is>
          <t>Actif</t>
        </is>
      </c>
      <c r="W9" s="58" t="n">
        <v>43557</v>
      </c>
      <c r="X9" s="58" t="n">
        <v>43724</v>
      </c>
      <c r="Y9" s="57" t="inlineStr">
        <is>
          <t>Salon professionnel</t>
        </is>
      </c>
      <c r="Z9" s="59" t="n">
        <v>650000</v>
      </c>
      <c r="AA9" s="59">
        <f>SUMIFS(Commandes!$K$2:$K$3000,Commandes!$D$2:$D$3000,A9,Commandes!$C$2:$C$3000,"&gt;"&amp;(DateExport-365),Commandes!$C$2:$C$3000,"&lt;="&amp;DateExport)</f>
        <v/>
      </c>
      <c r="AB9" s="60">
        <f>COUNTIFS(Transactions!$C$2:$C$3000,A9,Transactions!$N$2:$N$3000,"Ouverte")</f>
        <v/>
      </c>
      <c r="AC9" s="59">
        <f>SUMIFS(Transactions!$L$2:$L$3000,Transactions!$C$2:$C$3000,A9,Transactions!$N$2:$N$3000,"Ouverte")</f>
        <v/>
      </c>
      <c r="AD9" s="60">
        <f>COUNTIFS(Tickets!$C$2:$C$3000,A9,Tickets!$I$2:$I$3000,"&lt;&gt;Fermé")</f>
        <v/>
      </c>
      <c r="AE9" s="58">
        <f>IF(COUNTIFS(Activités!$D$2:$D$3000,A9,Activités!$B$2:$B$3000,"&lt;="&amp;DateExport)=0,"",_xlfn.MAXIFS(Activités!$B$2:$B$3000,Activités!$D$2:$D$3000,A9,Activités!$B$2:$B$3000,"&lt;="&amp;DateExport))</f>
        <v/>
      </c>
      <c r="AF9" s="58">
        <f>IF(COUNTIFS('Rendez-vous'!$F$2:$F$3000,A9,'Rendez-vous'!$B$2:$B$3000,"&gt;="&amp;DateExport)=0,"",_xlfn.MINIFS('Rendez-vous'!$B$2:$B$3000,'Rendez-vous'!$F$2:$F$3000,A9,'Rendez-vous'!$B$2:$B$3000,"&gt;="&amp;DateExport))</f>
        <v/>
      </c>
      <c r="AG9" s="57" t="inlineStr">
        <is>
          <t>Kartéa Luxe</t>
        </is>
      </c>
      <c r="AH9" s="57" t="inlineStr">
        <is>
          <t>60 jours</t>
        </is>
      </c>
      <c r="AI9" s="40" t="inlineStr">
        <is>
          <t>Client stratégique sur les étuis luxe et les coffrets de fin d'année. Cycle de décision long impliquant marketing, achats et industriel.</t>
        </is>
      </c>
      <c r="AJ9" s="40" t="inlineStr">
        <is>
          <t>Production des coffrets de fin d'année 2026 ; consultation 2027 sur des étuis allégés ; exigences fortes de recyclabilité.</t>
        </is>
      </c>
    </row>
    <row r="10" ht="23.85" customHeight="1" s="34">
      <c r="A10" s="57" t="inlineStr">
        <is>
          <t>E009</t>
        </is>
      </c>
      <c r="B10" s="57" t="inlineStr">
        <is>
          <t>Laurent-Perrier</t>
        </is>
      </c>
      <c r="C10" s="57" t="inlineStr">
        <is>
          <t>laurent-perrier.com</t>
        </is>
      </c>
      <c r="D10" s="61" t="inlineStr">
        <is>
          <t>https://www.laurent-perrier.com</t>
        </is>
      </c>
      <c r="E10" s="40" t="inlineStr">
        <is>
          <t>Groupe familial de maisons de champagne (Laurent-Perrier, Salon, Delamotte, de Castellane).</t>
        </is>
      </c>
      <c r="F10" s="57" t="inlineStr">
        <is>
          <t>Vins et spiritueux</t>
        </is>
      </c>
      <c r="G10" s="57" t="inlineStr">
        <is>
          <t>Champagne</t>
        </is>
      </c>
      <c r="H10" s="57" t="inlineStr">
        <is>
          <t>ETI</t>
        </is>
      </c>
      <c r="I10" s="57" t="inlineStr">
        <is>
          <t>250 - 999</t>
        </is>
      </c>
      <c r="J10" s="57" t="inlineStr">
        <is>
          <t>100 M€ - 1 Md€</t>
        </is>
      </c>
      <c r="K10" s="57" t="inlineStr">
        <is>
          <t>32 avenue de Champagne</t>
        </is>
      </c>
      <c r="L10" s="57" t="inlineStr">
        <is>
          <t>51150</t>
        </is>
      </c>
      <c r="M10" s="57" t="inlineStr">
        <is>
          <t>Tours-sur-Marne</t>
        </is>
      </c>
      <c r="N10" s="57" t="inlineStr">
        <is>
          <t>Grand Est</t>
        </is>
      </c>
      <c r="O10" s="57" t="inlineStr">
        <is>
          <t>France</t>
        </is>
      </c>
      <c r="P10" s="57" t="inlineStr">
        <is>
          <t>Groupe Laurent-Perrier</t>
        </is>
      </c>
      <c r="Q10" s="57" t="inlineStr">
        <is>
          <t>Oui</t>
        </is>
      </c>
      <c r="R10" s="57" t="inlineStr">
        <is>
          <t>LPE.PA</t>
        </is>
      </c>
      <c r="S10" s="57" t="inlineStr">
        <is>
          <t>U003</t>
        </is>
      </c>
      <c r="T10" s="57">
        <f>IFERROR(INDEX(Commerciaux!$D$2:$D$3000,MATCH(S10,Commerciaux!$A$2:$A$3000,0)),"")</f>
        <v/>
      </c>
      <c r="U10" s="57" t="inlineStr">
        <is>
          <t>Client</t>
        </is>
      </c>
      <c r="V10" s="57" t="inlineStr">
        <is>
          <t>Actif</t>
        </is>
      </c>
      <c r="W10" s="58" t="n">
        <v>44270</v>
      </c>
      <c r="X10" s="58" t="n">
        <v>44378</v>
      </c>
      <c r="Y10" s="57" t="inlineStr">
        <is>
          <t>Recommandation</t>
        </is>
      </c>
      <c r="Z10" s="59" t="n">
        <v>220000</v>
      </c>
      <c r="AA10" s="59">
        <f>SUMIFS(Commandes!$K$2:$K$3000,Commandes!$D$2:$D$3000,A10,Commandes!$C$2:$C$3000,"&gt;"&amp;(DateExport-365),Commandes!$C$2:$C$3000,"&lt;="&amp;DateExport)</f>
        <v/>
      </c>
      <c r="AB10" s="60">
        <f>COUNTIFS(Transactions!$C$2:$C$3000,A10,Transactions!$N$2:$N$3000,"Ouverte")</f>
        <v/>
      </c>
      <c r="AC10" s="59">
        <f>SUMIFS(Transactions!$L$2:$L$3000,Transactions!$C$2:$C$3000,A10,Transactions!$N$2:$N$3000,"Ouverte")</f>
        <v/>
      </c>
      <c r="AD10" s="60">
        <f>COUNTIFS(Tickets!$C$2:$C$3000,A10,Tickets!$I$2:$I$3000,"&lt;&gt;Fermé")</f>
        <v/>
      </c>
      <c r="AE10" s="58">
        <f>IF(COUNTIFS(Activités!$D$2:$D$3000,A10,Activités!$B$2:$B$3000,"&lt;="&amp;DateExport)=0,"",_xlfn.MAXIFS(Activités!$B$2:$B$3000,Activités!$D$2:$D$3000,A10,Activités!$B$2:$B$3000,"&lt;="&amp;DateExport))</f>
        <v/>
      </c>
      <c r="AF10" s="58">
        <f>IF(COUNTIFS('Rendez-vous'!$F$2:$F$3000,A10,'Rendez-vous'!$B$2:$B$3000,"&gt;="&amp;DateExport)=0,"",_xlfn.MINIFS('Rendez-vous'!$B$2:$B$3000,'Rendez-vous'!$F$2:$F$3000,A10,'Rendez-vous'!$B$2:$B$3000,"&gt;="&amp;DateExport))</f>
        <v/>
      </c>
      <c r="AG10" s="57" t="inlineStr">
        <is>
          <t>Kartéa Luxe</t>
        </is>
      </c>
      <c r="AH10" s="57" t="inlineStr">
        <is>
          <t>45 jours fin de mois</t>
        </is>
      </c>
      <c r="AI10" s="40" t="inlineStr">
        <is>
          <t>Client sur les étuis spiritueux et les caisses export. Interlocuteurs stables, relation de confiance.</t>
        </is>
      </c>
      <c r="AJ10" s="40" t="inlineStr">
        <is>
          <t>Renouvellement des étuis de la gamme rosé ; optimisation des caisses export.</t>
        </is>
      </c>
    </row>
    <row r="11" ht="23.85" customHeight="1" s="34">
      <c r="A11" s="57" t="inlineStr">
        <is>
          <t>E010</t>
        </is>
      </c>
      <c r="B11" s="57" t="inlineStr">
        <is>
          <t>Vranken-Pommery</t>
        </is>
      </c>
      <c r="C11" s="57" t="inlineStr">
        <is>
          <t>vrankenpommery.com</t>
        </is>
      </c>
      <c r="D11" s="61" t="inlineStr">
        <is>
          <t>https://www.vrankenpommery.com</t>
        </is>
      </c>
      <c r="E11" s="40" t="inlineStr">
        <is>
          <t>Groupe de vins et champagnes (Vranken, Pommery, Heidsieck &amp; Co Monopole).</t>
        </is>
      </c>
      <c r="F11" s="57" t="inlineStr">
        <is>
          <t>Vins et spiritueux</t>
        </is>
      </c>
      <c r="G11" s="57" t="inlineStr">
        <is>
          <t>Champagne</t>
        </is>
      </c>
      <c r="H11" s="57" t="inlineStr">
        <is>
          <t>ETI</t>
        </is>
      </c>
      <c r="I11" s="57" t="inlineStr">
        <is>
          <t>250 - 999</t>
        </is>
      </c>
      <c r="J11" s="57" t="inlineStr">
        <is>
          <t>100 M€ - 1 Md€</t>
        </is>
      </c>
      <c r="K11" s="57" t="inlineStr">
        <is>
          <t>5 place du Général Gouraud</t>
        </is>
      </c>
      <c r="L11" s="57" t="inlineStr">
        <is>
          <t>51100</t>
        </is>
      </c>
      <c r="M11" s="57" t="inlineStr">
        <is>
          <t>Reims</t>
        </is>
      </c>
      <c r="N11" s="57" t="inlineStr">
        <is>
          <t>Grand Est</t>
        </is>
      </c>
      <c r="O11" s="57" t="inlineStr">
        <is>
          <t>France</t>
        </is>
      </c>
      <c r="P11" s="57" t="inlineStr">
        <is>
          <t>Vranken-Pommery Monopole</t>
        </is>
      </c>
      <c r="Q11" s="57" t="inlineStr">
        <is>
          <t>Oui</t>
        </is>
      </c>
      <c r="R11" s="57" t="inlineStr">
        <is>
          <t>VRAP.PA</t>
        </is>
      </c>
      <c r="S11" s="57" t="inlineStr">
        <is>
          <t>U003</t>
        </is>
      </c>
      <c r="T11" s="57">
        <f>IFERROR(INDEX(Commerciaux!$D$2:$D$3000,MATCH(S11,Commerciaux!$A$2:$A$3000,0)),"")</f>
        <v/>
      </c>
      <c r="U11" s="57" t="inlineStr">
        <is>
          <t>Opportunité</t>
        </is>
      </c>
      <c r="V11" s="57" t="inlineStr">
        <is>
          <t>En développement</t>
        </is>
      </c>
      <c r="W11" s="58" t="n">
        <v>45908</v>
      </c>
      <c r="X11" s="58" t="n"/>
      <c r="Y11" s="57" t="inlineStr">
        <is>
          <t>Salon professionnel</t>
        </is>
      </c>
      <c r="Z11" s="59" t="n">
        <v>240000</v>
      </c>
      <c r="AA11" s="59">
        <f>SUMIFS(Commandes!$K$2:$K$3000,Commandes!$D$2:$D$3000,A11,Commandes!$C$2:$C$3000,"&gt;"&amp;(DateExport-365),Commandes!$C$2:$C$3000,"&lt;="&amp;DateExport)</f>
        <v/>
      </c>
      <c r="AB11" s="60">
        <f>COUNTIFS(Transactions!$C$2:$C$3000,A11,Transactions!$N$2:$N$3000,"Ouverte")</f>
        <v/>
      </c>
      <c r="AC11" s="59">
        <f>SUMIFS(Transactions!$L$2:$L$3000,Transactions!$C$2:$C$3000,A11,Transactions!$N$2:$N$3000,"Ouverte")</f>
        <v/>
      </c>
      <c r="AD11" s="60">
        <f>COUNTIFS(Tickets!$C$2:$C$3000,A11,Tickets!$I$2:$I$3000,"&lt;&gt;Fermé")</f>
        <v/>
      </c>
      <c r="AE11" s="58">
        <f>IF(COUNTIFS(Activités!$D$2:$D$3000,A11,Activités!$B$2:$B$3000,"&lt;="&amp;DateExport)=0,"",_xlfn.MAXIFS(Activités!$B$2:$B$3000,Activités!$D$2:$D$3000,A11,Activités!$B$2:$B$3000,"&lt;="&amp;DateExport))</f>
        <v/>
      </c>
      <c r="AF11" s="58">
        <f>IF(COUNTIFS('Rendez-vous'!$F$2:$F$3000,A11,'Rendez-vous'!$B$2:$B$3000,"&gt;="&amp;DateExport)=0,"",_xlfn.MINIFS('Rendez-vous'!$B$2:$B$3000,'Rendez-vous'!$F$2:$F$3000,A11,'Rendez-vous'!$B$2:$B$3000,"&gt;="&amp;DateExport))</f>
        <v/>
      </c>
      <c r="AG11" s="57" t="inlineStr">
        <is>
          <t>Kartéa Luxe</t>
        </is>
      </c>
      <c r="AH11" s="57" t="inlineStr">
        <is>
          <t>60 jours</t>
        </is>
      </c>
      <c r="AI11" s="40" t="inlineStr">
        <is>
          <t>Opportunité ouverte après un salon professionnel : intérêt pour des coffrets premium et des étiquettes d'inviolabilité.</t>
        </is>
      </c>
      <c r="AJ11" s="40" t="inlineStr">
        <is>
          <t>Remplacement du fournisseur actuel de coffrets, jugé peu fiable sur les délais ; décision attendue en décembre.</t>
        </is>
      </c>
    </row>
    <row r="12" ht="46.25" customHeight="1" s="34">
      <c r="A12" s="57" t="inlineStr">
        <is>
          <t>E011</t>
        </is>
      </c>
      <c r="B12" s="57" t="inlineStr">
        <is>
          <t>Kronenbourg</t>
        </is>
      </c>
      <c r="C12" s="57" t="inlineStr">
        <is>
          <t>kronenbourg.com</t>
        </is>
      </c>
      <c r="D12" s="61" t="inlineStr">
        <is>
          <t>https://www.kronenbourg.com</t>
        </is>
      </c>
      <c r="E12" s="40" t="inlineStr">
        <is>
          <t>Premier brasseur français, filiale du groupe Carlsberg (Kronenbourg 1664, Grimbergen) ; principale brasserie à Obernai.</t>
        </is>
      </c>
      <c r="F12" s="57" t="inlineStr">
        <is>
          <t>Grande consommation</t>
        </is>
      </c>
      <c r="G12" s="57" t="inlineStr">
        <is>
          <t>Bière</t>
        </is>
      </c>
      <c r="H12" s="57" t="inlineStr">
        <is>
          <t>Grand compte</t>
        </is>
      </c>
      <c r="I12" s="57" t="inlineStr">
        <is>
          <t>1 000 - 4 999</t>
        </is>
      </c>
      <c r="J12" s="57" t="inlineStr">
        <is>
          <t>Non publié (filiale)</t>
        </is>
      </c>
      <c r="K12" s="57" t="inlineStr">
        <is>
          <t>68 route d'Oberhausbergen</t>
        </is>
      </c>
      <c r="L12" s="57" t="inlineStr">
        <is>
          <t>67000</t>
        </is>
      </c>
      <c r="M12" s="57" t="inlineStr">
        <is>
          <t>Strasbourg</t>
        </is>
      </c>
      <c r="N12" s="57" t="inlineStr">
        <is>
          <t>Grand Est</t>
        </is>
      </c>
      <c r="O12" s="57" t="inlineStr">
        <is>
          <t>France</t>
        </is>
      </c>
      <c r="P12" s="57" t="inlineStr">
        <is>
          <t>Groupe Carlsberg</t>
        </is>
      </c>
      <c r="Q12" s="57" t="inlineStr">
        <is>
          <t>Oui (via le groupe)</t>
        </is>
      </c>
      <c r="R12" s="57" t="inlineStr">
        <is>
          <t>CARL-B.CO</t>
        </is>
      </c>
      <c r="S12" s="57" t="inlineStr">
        <is>
          <t>U003</t>
        </is>
      </c>
      <c r="T12" s="57">
        <f>IFERROR(INDEX(Commerciaux!$D$2:$D$3000,MATCH(S12,Commerciaux!$A$2:$A$3000,0)),"")</f>
        <v/>
      </c>
      <c r="U12" s="57" t="inlineStr">
        <is>
          <t>Client</t>
        </is>
      </c>
      <c r="V12" s="57" t="inlineStr">
        <is>
          <t>À risque</t>
        </is>
      </c>
      <c r="W12" s="58" t="n">
        <v>44004</v>
      </c>
      <c r="X12" s="58" t="n">
        <v>44207</v>
      </c>
      <c r="Y12" s="57" t="inlineStr">
        <is>
          <t>Prospection terrain</t>
        </is>
      </c>
      <c r="Z12" s="59" t="n">
        <v>320000</v>
      </c>
      <c r="AA12" s="59">
        <f>SUMIFS(Commandes!$K$2:$K$3000,Commandes!$D$2:$D$3000,A12,Commandes!$C$2:$C$3000,"&gt;"&amp;(DateExport-365),Commandes!$C$2:$C$3000,"&lt;="&amp;DateExport)</f>
        <v/>
      </c>
      <c r="AB12" s="60">
        <f>COUNTIFS(Transactions!$C$2:$C$3000,A12,Transactions!$N$2:$N$3000,"Ouverte")</f>
        <v/>
      </c>
      <c r="AC12" s="59">
        <f>SUMIFS(Transactions!$L$2:$L$3000,Transactions!$C$2:$C$3000,A12,Transactions!$N$2:$N$3000,"Ouverte")</f>
        <v/>
      </c>
      <c r="AD12" s="60">
        <f>COUNTIFS(Tickets!$C$2:$C$3000,A12,Tickets!$I$2:$I$3000,"&lt;&gt;Fermé")</f>
        <v/>
      </c>
      <c r="AE12" s="58">
        <f>IF(COUNTIFS(Activités!$D$2:$D$3000,A12,Activités!$B$2:$B$3000,"&lt;="&amp;DateExport)=0,"",_xlfn.MAXIFS(Activités!$B$2:$B$3000,Activités!$D$2:$D$3000,A12,Activités!$B$2:$B$3000,"&lt;="&amp;DateExport))</f>
        <v/>
      </c>
      <c r="AF12" s="58">
        <f>IF(COUNTIFS('Rendez-vous'!$F$2:$F$3000,A12,'Rendez-vous'!$B$2:$B$3000,"&gt;="&amp;DateExport)=0,"",_xlfn.MINIFS('Rendez-vous'!$B$2:$B$3000,'Rendez-vous'!$F$2:$F$3000,A12,'Rendez-vous'!$B$2:$B$3000,"&gt;="&amp;DateExport))</f>
        <v/>
      </c>
      <c r="AG12" s="57" t="inlineStr">
        <is>
          <t>Emballor Industries</t>
        </is>
      </c>
      <c r="AH12" s="57" t="inlineStr">
        <is>
          <t>60 jours</t>
        </is>
      </c>
      <c r="AI12" s="40" t="inlineStr">
        <is>
          <t>Client sur les caisses carton et les étiquettes promotionnelles. Les décisions d'achat se prennent au siège de Strasbourg ; la production est concentrée à la brasserie d'Obernai. Volume en baisse depuis début 2026 : une partie des caisses a été attribuée à un concurrent.</t>
        </is>
      </c>
      <c r="AJ12" s="40" t="inlineStr">
        <is>
          <t>Reconquérir le volume perdu sur les caisses ; valoriser le contrat de maintenance des étiqueteuses installées.</t>
        </is>
      </c>
    </row>
    <row r="13" ht="23.85" customHeight="1" s="34">
      <c r="A13" s="57" t="inlineStr">
        <is>
          <t>E012</t>
        </is>
      </c>
      <c r="B13" s="57" t="inlineStr">
        <is>
          <t>bioMérieux</t>
        </is>
      </c>
      <c r="C13" s="57" t="inlineStr">
        <is>
          <t>biomerieux.com</t>
        </is>
      </c>
      <c r="D13" s="61" t="inlineStr">
        <is>
          <t>https://www.biomerieux.com</t>
        </is>
      </c>
      <c r="E13" s="40" t="inlineStr">
        <is>
          <t>Acteur mondial du diagnostic in vitro (microbiologie, immunoessais, biologie moléculaire).</t>
        </is>
      </c>
      <c r="F13" s="57" t="inlineStr">
        <is>
          <t>Pharmaceutique et santé</t>
        </is>
      </c>
      <c r="G13" s="57" t="inlineStr">
        <is>
          <t>Diagnostic in vitro</t>
        </is>
      </c>
      <c r="H13" s="57" t="inlineStr">
        <is>
          <t>Grand compte</t>
        </is>
      </c>
      <c r="I13" s="57" t="inlineStr">
        <is>
          <t>10 000 et plus</t>
        </is>
      </c>
      <c r="J13" s="57" t="inlineStr">
        <is>
          <t>1 - 10 Md€</t>
        </is>
      </c>
      <c r="K13" s="57" t="inlineStr">
        <is>
          <t>376 chemin de l'Orme</t>
        </is>
      </c>
      <c r="L13" s="57" t="inlineStr">
        <is>
          <t>69280</t>
        </is>
      </c>
      <c r="M13" s="57" t="inlineStr">
        <is>
          <t>Marcy-l'Étoile</t>
        </is>
      </c>
      <c r="N13" s="57" t="inlineStr">
        <is>
          <t>Auvergne-Rhône-Alpes</t>
        </is>
      </c>
      <c r="O13" s="57" t="inlineStr">
        <is>
          <t>France</t>
        </is>
      </c>
      <c r="P13" s="57" t="inlineStr">
        <is>
          <t>bioMérieux</t>
        </is>
      </c>
      <c r="Q13" s="57" t="inlineStr">
        <is>
          <t>Oui</t>
        </is>
      </c>
      <c r="R13" s="57" t="inlineStr">
        <is>
          <t>BIM.PA</t>
        </is>
      </c>
      <c r="S13" s="57" t="inlineStr">
        <is>
          <t>U004</t>
        </is>
      </c>
      <c r="T13" s="57">
        <f>IFERROR(INDEX(Commerciaux!$D$2:$D$3000,MATCH(S13,Commerciaux!$A$2:$A$3000,0)),"")</f>
        <v/>
      </c>
      <c r="U13" s="57" t="inlineStr">
        <is>
          <t>Client</t>
        </is>
      </c>
      <c r="V13" s="57" t="inlineStr">
        <is>
          <t>Actif</t>
        </is>
      </c>
      <c r="W13" s="58" t="n">
        <v>44088</v>
      </c>
      <c r="X13" s="58" t="n">
        <v>44228</v>
      </c>
      <c r="Y13" s="57" t="inlineStr">
        <is>
          <t>Recommandation</t>
        </is>
      </c>
      <c r="Z13" s="59" t="n">
        <v>410000</v>
      </c>
      <c r="AA13" s="59">
        <f>SUMIFS(Commandes!$K$2:$K$3000,Commandes!$D$2:$D$3000,A13,Commandes!$C$2:$C$3000,"&gt;"&amp;(DateExport-365),Commandes!$C$2:$C$3000,"&lt;="&amp;DateExport)</f>
        <v/>
      </c>
      <c r="AB13" s="60">
        <f>COUNTIFS(Transactions!$C$2:$C$3000,A13,Transactions!$N$2:$N$3000,"Ouverte")</f>
        <v/>
      </c>
      <c r="AC13" s="59">
        <f>SUMIFS(Transactions!$L$2:$L$3000,Transactions!$C$2:$C$3000,A13,Transactions!$N$2:$N$3000,"Ouverte")</f>
        <v/>
      </c>
      <c r="AD13" s="60">
        <f>COUNTIFS(Tickets!$C$2:$C$3000,A13,Tickets!$I$2:$I$3000,"&lt;&gt;Fermé")</f>
        <v/>
      </c>
      <c r="AE13" s="58">
        <f>IF(COUNTIFS(Activités!$D$2:$D$3000,A13,Activités!$B$2:$B$3000,"&lt;="&amp;DateExport)=0,"",_xlfn.MAXIFS(Activités!$B$2:$B$3000,Activités!$D$2:$D$3000,A13,Activités!$B$2:$B$3000,"&lt;="&amp;DateExport))</f>
        <v/>
      </c>
      <c r="AF13" s="58">
        <f>IF(COUNTIFS('Rendez-vous'!$F$2:$F$3000,A13,'Rendez-vous'!$B$2:$B$3000,"&gt;="&amp;DateExport)=0,"",_xlfn.MINIFS('Rendez-vous'!$B$2:$B$3000,'Rendez-vous'!$F$2:$F$3000,A13,'Rendez-vous'!$B$2:$B$3000,"&gt;="&amp;DateExport))</f>
        <v/>
      </c>
      <c r="AG13" s="57" t="inlineStr">
        <is>
          <t>Kartéa Pharma Pack</t>
        </is>
      </c>
      <c r="AH13" s="57" t="inlineStr">
        <is>
          <t>60 jours</t>
        </is>
      </c>
      <c r="AI13" s="40" t="inlineStr">
        <is>
          <t>Client sur les étuis et étiquettes des kits de diagnostic. Forte exigence de traçabilité.</t>
        </is>
      </c>
      <c r="AJ13" s="40" t="inlineStr">
        <is>
          <t>Sérialisation des kits pour les marchés export ; évolution réglementaire de l'étiquetage.</t>
        </is>
      </c>
    </row>
    <row r="14" ht="23.85" customHeight="1" s="34">
      <c r="A14" s="57" t="inlineStr">
        <is>
          <t>E013</t>
        </is>
      </c>
      <c r="B14" s="57" t="inlineStr">
        <is>
          <t>Boiron</t>
        </is>
      </c>
      <c r="C14" s="57" t="inlineStr">
        <is>
          <t>boiron.com</t>
        </is>
      </c>
      <c r="D14" s="61" t="inlineStr">
        <is>
          <t>https://www.boiron.com</t>
        </is>
      </c>
      <c r="E14" s="40" t="inlineStr">
        <is>
          <t>Laboratoire pharmaceutique spécialiste de l'homéopathie et des médicaments sans ordonnance.</t>
        </is>
      </c>
      <c r="F14" s="57" t="inlineStr">
        <is>
          <t>Pharmaceutique et santé</t>
        </is>
      </c>
      <c r="G14" s="57" t="inlineStr">
        <is>
          <t>Homéopathie</t>
        </is>
      </c>
      <c r="H14" s="57" t="inlineStr">
        <is>
          <t>ETI</t>
        </is>
      </c>
      <c r="I14" s="57" t="inlineStr">
        <is>
          <t>1 000 - 4 999</t>
        </is>
      </c>
      <c r="J14" s="57" t="inlineStr">
        <is>
          <t>100 M€ - 1 Md€</t>
        </is>
      </c>
      <c r="K14" s="57" t="inlineStr">
        <is>
          <t>2 avenue de l'Ouest Lyonnais</t>
        </is>
      </c>
      <c r="L14" s="57" t="inlineStr">
        <is>
          <t>69510</t>
        </is>
      </c>
      <c r="M14" s="57" t="inlineStr">
        <is>
          <t>Messimy</t>
        </is>
      </c>
      <c r="N14" s="57" t="inlineStr">
        <is>
          <t>Auvergne-Rhône-Alpes</t>
        </is>
      </c>
      <c r="O14" s="57" t="inlineStr">
        <is>
          <t>France</t>
        </is>
      </c>
      <c r="P14" s="57" t="inlineStr">
        <is>
          <t>Boiron</t>
        </is>
      </c>
      <c r="Q14" s="57" t="inlineStr">
        <is>
          <t>Oui</t>
        </is>
      </c>
      <c r="R14" s="57" t="inlineStr">
        <is>
          <t>BOI.PA</t>
        </is>
      </c>
      <c r="S14" s="57" t="inlineStr">
        <is>
          <t>U004</t>
        </is>
      </c>
      <c r="T14" s="57">
        <f>IFERROR(INDEX(Commerciaux!$D$2:$D$3000,MATCH(S14,Commerciaux!$A$2:$A$3000,0)),"")</f>
        <v/>
      </c>
      <c r="U14" s="57" t="inlineStr">
        <is>
          <t>Client</t>
        </is>
      </c>
      <c r="V14" s="57" t="inlineStr">
        <is>
          <t>Actif</t>
        </is>
      </c>
      <c r="W14" s="58" t="n">
        <v>43514</v>
      </c>
      <c r="X14" s="58" t="n">
        <v>43619</v>
      </c>
      <c r="Y14" s="57" t="inlineStr">
        <is>
          <t>Prospection terrain</t>
        </is>
      </c>
      <c r="Z14" s="59" t="n">
        <v>190000</v>
      </c>
      <c r="AA14" s="59">
        <f>SUMIFS(Commandes!$K$2:$K$3000,Commandes!$D$2:$D$3000,A14,Commandes!$C$2:$C$3000,"&gt;"&amp;(DateExport-365),Commandes!$C$2:$C$3000,"&lt;="&amp;DateExport)</f>
        <v/>
      </c>
      <c r="AB14" s="60">
        <f>COUNTIFS(Transactions!$C$2:$C$3000,A14,Transactions!$N$2:$N$3000,"Ouverte")</f>
        <v/>
      </c>
      <c r="AC14" s="59">
        <f>SUMIFS(Transactions!$L$2:$L$3000,Transactions!$C$2:$C$3000,A14,Transactions!$N$2:$N$3000,"Ouverte")</f>
        <v/>
      </c>
      <c r="AD14" s="60">
        <f>COUNTIFS(Tickets!$C$2:$C$3000,A14,Tickets!$I$2:$I$3000,"&lt;&gt;Fermé")</f>
        <v/>
      </c>
      <c r="AE14" s="58">
        <f>IF(COUNTIFS(Activités!$D$2:$D$3000,A14,Activités!$B$2:$B$3000,"&lt;="&amp;DateExport)=0,"",_xlfn.MAXIFS(Activités!$B$2:$B$3000,Activités!$D$2:$D$3000,A14,Activités!$B$2:$B$3000,"&lt;="&amp;DateExport))</f>
        <v/>
      </c>
      <c r="AF14" s="58">
        <f>IF(COUNTIFS('Rendez-vous'!$F$2:$F$3000,A14,'Rendez-vous'!$B$2:$B$3000,"&gt;="&amp;DateExport)=0,"",_xlfn.MINIFS('Rendez-vous'!$B$2:$B$3000,'Rendez-vous'!$F$2:$F$3000,A14,'Rendez-vous'!$B$2:$B$3000,"&gt;="&amp;DateExport))</f>
        <v/>
      </c>
      <c r="AG14" s="57" t="inlineStr">
        <is>
          <t>Kartéa Pharma Pack</t>
        </is>
      </c>
      <c r="AH14" s="57" t="inlineStr">
        <is>
          <t>60 jours</t>
        </is>
      </c>
      <c r="AI14" s="40" t="inlineStr">
        <is>
          <t>Client de longue date sur les étuis et notices, avec des volumes réguliers.</t>
        </is>
      </c>
      <c r="AJ14" s="40" t="inlineStr">
        <is>
          <t>Optimisation des coûts d'emballage ; passage à des étuis en carton recyclé.</t>
        </is>
      </c>
    </row>
    <row r="15" ht="23.85" customHeight="1" s="34">
      <c r="A15" s="57" t="inlineStr">
        <is>
          <t>E014</t>
        </is>
      </c>
      <c r="B15" s="57" t="inlineStr">
        <is>
          <t>SEB</t>
        </is>
      </c>
      <c r="C15" s="57" t="inlineStr">
        <is>
          <t>groupeseb.com</t>
        </is>
      </c>
      <c r="D15" s="61" t="inlineStr">
        <is>
          <t>https://www.groupeseb.com</t>
        </is>
      </c>
      <c r="E15" s="40" t="inlineStr">
        <is>
          <t>Leader mondial du petit équipement domestique (Tefal, Rowenta, Moulinex, Krups, Seb).</t>
        </is>
      </c>
      <c r="F15" s="57" t="inlineStr">
        <is>
          <t>Équipements et matériaux</t>
        </is>
      </c>
      <c r="G15" s="57" t="inlineStr">
        <is>
          <t>Petit électroménager</t>
        </is>
      </c>
      <c r="H15" s="57" t="inlineStr">
        <is>
          <t>Grand compte</t>
        </is>
      </c>
      <c r="I15" s="57" t="inlineStr">
        <is>
          <t>10 000 et plus</t>
        </is>
      </c>
      <c r="J15" s="57" t="inlineStr">
        <is>
          <t>1 - 10 Md€</t>
        </is>
      </c>
      <c r="K15" s="57" t="inlineStr">
        <is>
          <t>112 chemin du Moulin Carron</t>
        </is>
      </c>
      <c r="L15" s="57" t="inlineStr">
        <is>
          <t>69130</t>
        </is>
      </c>
      <c r="M15" s="57" t="inlineStr">
        <is>
          <t>Écully</t>
        </is>
      </c>
      <c r="N15" s="57" t="inlineStr">
        <is>
          <t>Auvergne-Rhône-Alpes</t>
        </is>
      </c>
      <c r="O15" s="57" t="inlineStr">
        <is>
          <t>France</t>
        </is>
      </c>
      <c r="P15" s="57" t="inlineStr">
        <is>
          <t>Groupe SEB</t>
        </is>
      </c>
      <c r="Q15" s="57" t="inlineStr">
        <is>
          <t>Oui</t>
        </is>
      </c>
      <c r="R15" s="57" t="inlineStr">
        <is>
          <t>SK.PA</t>
        </is>
      </c>
      <c r="S15" s="57" t="inlineStr">
        <is>
          <t>U004</t>
        </is>
      </c>
      <c r="T15" s="57">
        <f>IFERROR(INDEX(Commerciaux!$D$2:$D$3000,MATCH(S15,Commerciaux!$A$2:$A$3000,0)),"")</f>
        <v/>
      </c>
      <c r="U15" s="57" t="inlineStr">
        <is>
          <t>Client</t>
        </is>
      </c>
      <c r="V15" s="57" t="inlineStr">
        <is>
          <t>Actif</t>
        </is>
      </c>
      <c r="W15" s="58" t="n">
        <v>44221</v>
      </c>
      <c r="X15" s="58" t="n">
        <v>44326</v>
      </c>
      <c r="Y15" s="57" t="inlineStr">
        <is>
          <t>Salon professionnel</t>
        </is>
      </c>
      <c r="Z15" s="59" t="n">
        <v>520000</v>
      </c>
      <c r="AA15" s="59">
        <f>SUMIFS(Commandes!$K$2:$K$3000,Commandes!$D$2:$D$3000,A15,Commandes!$C$2:$C$3000,"&gt;"&amp;(DateExport-365),Commandes!$C$2:$C$3000,"&lt;="&amp;DateExport)</f>
        <v/>
      </c>
      <c r="AB15" s="60">
        <f>COUNTIFS(Transactions!$C$2:$C$3000,A15,Transactions!$N$2:$N$3000,"Ouverte")</f>
        <v/>
      </c>
      <c r="AC15" s="59">
        <f>SUMIFS(Transactions!$L$2:$L$3000,Transactions!$C$2:$C$3000,A15,Transactions!$N$2:$N$3000,"Ouverte")</f>
        <v/>
      </c>
      <c r="AD15" s="60">
        <f>COUNTIFS(Tickets!$C$2:$C$3000,A15,Tickets!$I$2:$I$3000,"&lt;&gt;Fermé")</f>
        <v/>
      </c>
      <c r="AE15" s="58">
        <f>IF(COUNTIFS(Activités!$D$2:$D$3000,A15,Activités!$B$2:$B$3000,"&lt;="&amp;DateExport)=0,"",_xlfn.MAXIFS(Activités!$B$2:$B$3000,Activités!$D$2:$D$3000,A15,Activités!$B$2:$B$3000,"&lt;="&amp;DateExport))</f>
        <v/>
      </c>
      <c r="AF15" s="58">
        <f>IF(COUNTIFS('Rendez-vous'!$F$2:$F$3000,A15,'Rendez-vous'!$B$2:$B$3000,"&gt;="&amp;DateExport)=0,"",_xlfn.MINIFS('Rendez-vous'!$B$2:$B$3000,'Rendez-vous'!$F$2:$F$3000,A15,'Rendez-vous'!$B$2:$B$3000,"&gt;="&amp;DateExport))</f>
        <v/>
      </c>
      <c r="AG15" s="57" t="inlineStr">
        <is>
          <t>Emballor Industries</t>
        </is>
      </c>
      <c r="AH15" s="57" t="inlineStr">
        <is>
          <t>60 jours</t>
        </is>
      </c>
      <c r="AI15" s="40" t="inlineStr">
        <is>
          <t>Client sur les caisses carton personnalisées et les emballages éco-conçus de plusieurs gammes.</t>
        </is>
      </c>
      <c r="AJ15" s="40" t="inlineStr">
        <is>
          <t>Suppression du polystyrène dans les calages ; harmonisation des emballages entre marques.</t>
        </is>
      </c>
    </row>
    <row r="16" ht="23.85" customHeight="1" s="34">
      <c r="A16" s="57" t="inlineStr">
        <is>
          <t>E015</t>
        </is>
      </c>
      <c r="B16" s="57" t="inlineStr">
        <is>
          <t>Vicat</t>
        </is>
      </c>
      <c r="C16" s="57" t="inlineStr">
        <is>
          <t>vicat.com</t>
        </is>
      </c>
      <c r="D16" s="61" t="inlineStr">
        <is>
          <t>https://www.vicat.com</t>
        </is>
      </c>
      <c r="E16" s="40" t="inlineStr">
        <is>
          <t>Groupe cimentier familial (ciment, béton prêt à l'emploi, granulats).</t>
        </is>
      </c>
      <c r="F16" s="57" t="inlineStr">
        <is>
          <t>Équipements et matériaux</t>
        </is>
      </c>
      <c r="G16" s="57" t="inlineStr">
        <is>
          <t>Ciment et matériaux de construction</t>
        </is>
      </c>
      <c r="H16" s="57" t="inlineStr">
        <is>
          <t>Grand compte</t>
        </is>
      </c>
      <c r="I16" s="57" t="inlineStr">
        <is>
          <t>10 000 et plus</t>
        </is>
      </c>
      <c r="J16" s="57" t="inlineStr">
        <is>
          <t>1 - 10 Md€</t>
        </is>
      </c>
      <c r="K16" s="57" t="inlineStr">
        <is>
          <t>4 rue Aristide Bergès</t>
        </is>
      </c>
      <c r="L16" s="57" t="inlineStr">
        <is>
          <t>38080</t>
        </is>
      </c>
      <c r="M16" s="57" t="inlineStr">
        <is>
          <t>L'Isle-d'Abeau</t>
        </is>
      </c>
      <c r="N16" s="57" t="inlineStr">
        <is>
          <t>Auvergne-Rhône-Alpes</t>
        </is>
      </c>
      <c r="O16" s="57" t="inlineStr">
        <is>
          <t>France</t>
        </is>
      </c>
      <c r="P16" s="57" t="inlineStr">
        <is>
          <t>Groupe Vicat</t>
        </is>
      </c>
      <c r="Q16" s="57" t="inlineStr">
        <is>
          <t>Oui</t>
        </is>
      </c>
      <c r="R16" s="57" t="inlineStr">
        <is>
          <t>VCT.PA</t>
        </is>
      </c>
      <c r="S16" s="57" t="inlineStr">
        <is>
          <t>U004</t>
        </is>
      </c>
      <c r="T16" s="57">
        <f>IFERROR(INDEX(Commerciaux!$D$2:$D$3000,MATCH(S16,Commerciaux!$A$2:$A$3000,0)),"")</f>
        <v/>
      </c>
      <c r="U16" s="57" t="inlineStr">
        <is>
          <t>Prospect</t>
        </is>
      </c>
      <c r="V16" s="57" t="inlineStr">
        <is>
          <t>Nouveau</t>
        </is>
      </c>
      <c r="W16" s="58" t="n">
        <v>46272</v>
      </c>
      <c r="X16" s="58" t="n"/>
      <c r="Y16" s="57" t="inlineStr">
        <is>
          <t>Événement / webinaire</t>
        </is>
      </c>
      <c r="Z16" s="59" t="n">
        <v>120000</v>
      </c>
      <c r="AA16" s="59">
        <f>SUMIFS(Commandes!$K$2:$K$3000,Commandes!$D$2:$D$3000,A16,Commandes!$C$2:$C$3000,"&gt;"&amp;(DateExport-365),Commandes!$C$2:$C$3000,"&lt;="&amp;DateExport)</f>
        <v/>
      </c>
      <c r="AB16" s="60">
        <f>COUNTIFS(Transactions!$C$2:$C$3000,A16,Transactions!$N$2:$N$3000,"Ouverte")</f>
        <v/>
      </c>
      <c r="AC16" s="59">
        <f>SUMIFS(Transactions!$L$2:$L$3000,Transactions!$C$2:$C$3000,A16,Transactions!$N$2:$N$3000,"Ouverte")</f>
        <v/>
      </c>
      <c r="AD16" s="60">
        <f>COUNTIFS(Tickets!$C$2:$C$3000,A16,Tickets!$I$2:$I$3000,"&lt;&gt;Fermé")</f>
        <v/>
      </c>
      <c r="AE16" s="58">
        <f>IF(COUNTIFS(Activités!$D$2:$D$3000,A16,Activités!$B$2:$B$3000,"&lt;="&amp;DateExport)=0,"",_xlfn.MAXIFS(Activités!$B$2:$B$3000,Activités!$D$2:$D$3000,A16,Activités!$B$2:$B$3000,"&lt;="&amp;DateExport))</f>
        <v/>
      </c>
      <c r="AF16" s="58">
        <f>IF(COUNTIFS('Rendez-vous'!$F$2:$F$3000,A16,'Rendez-vous'!$B$2:$B$3000,"&gt;="&amp;DateExport)=0,"",_xlfn.MINIFS('Rendez-vous'!$B$2:$B$3000,'Rendez-vous'!$F$2:$F$3000,A16,'Rendez-vous'!$B$2:$B$3000,"&gt;="&amp;DateExport))</f>
        <v/>
      </c>
      <c r="AG16" s="57" t="n"/>
      <c r="AH16" s="57" t="inlineStr">
        <is>
          <t>60 jours</t>
        </is>
      </c>
      <c r="AI16" s="40" t="inlineStr">
        <is>
          <t>Prospect venu d'un webinaire sur l'étiquetage logistique : besoin potentiel d'étiquettes résistantes pour les sacs.</t>
        </is>
      </c>
      <c r="AJ16" s="40" t="inlineStr">
        <is>
          <t>Qualifier le besoin et identifier le décideur.</t>
        </is>
      </c>
    </row>
    <row r="17" ht="23.85" customHeight="1" s="34">
      <c r="A17" s="57" t="inlineStr">
        <is>
          <t>E016</t>
        </is>
      </c>
      <c r="B17" s="57" t="inlineStr">
        <is>
          <t>Virbac</t>
        </is>
      </c>
      <c r="C17" s="57" t="inlineStr">
        <is>
          <t>virbac.com</t>
        </is>
      </c>
      <c r="D17" s="61" t="inlineStr">
        <is>
          <t>https://www.virbac.com</t>
        </is>
      </c>
      <c r="E17" s="40" t="inlineStr">
        <is>
          <t>Laboratoire pharmaceutique dédié exclusivement à la santé animale.</t>
        </is>
      </c>
      <c r="F17" s="57" t="inlineStr">
        <is>
          <t>Pharmaceutique et santé</t>
        </is>
      </c>
      <c r="G17" s="57" t="inlineStr">
        <is>
          <t>Santé animale</t>
        </is>
      </c>
      <c r="H17" s="57" t="inlineStr">
        <is>
          <t>Grand compte</t>
        </is>
      </c>
      <c r="I17" s="57" t="inlineStr">
        <is>
          <t>5 000 - 9 999</t>
        </is>
      </c>
      <c r="J17" s="57" t="inlineStr">
        <is>
          <t>1 - 10 Md€</t>
        </is>
      </c>
      <c r="K17" s="57" t="inlineStr">
        <is>
          <t>1ère avenue 2065 m LID</t>
        </is>
      </c>
      <c r="L17" s="57" t="inlineStr">
        <is>
          <t>06510</t>
        </is>
      </c>
      <c r="M17" s="57" t="inlineStr">
        <is>
          <t>Carros</t>
        </is>
      </c>
      <c r="N17" s="57" t="inlineStr">
        <is>
          <t>Provence-Alpes-Côte d'Azur</t>
        </is>
      </c>
      <c r="O17" s="57" t="inlineStr">
        <is>
          <t>France</t>
        </is>
      </c>
      <c r="P17" s="57" t="inlineStr">
        <is>
          <t>Virbac</t>
        </is>
      </c>
      <c r="Q17" s="57" t="inlineStr">
        <is>
          <t>Oui</t>
        </is>
      </c>
      <c r="R17" s="57" t="inlineStr">
        <is>
          <t>VIRP.PA</t>
        </is>
      </c>
      <c r="S17" s="57" t="inlineStr">
        <is>
          <t>U004</t>
        </is>
      </c>
      <c r="T17" s="57">
        <f>IFERROR(INDEX(Commerciaux!$D$2:$D$3000,MATCH(S17,Commerciaux!$A$2:$A$3000,0)),"")</f>
        <v/>
      </c>
      <c r="U17" s="57" t="inlineStr">
        <is>
          <t>Opportunité</t>
        </is>
      </c>
      <c r="V17" s="57" t="inlineStr">
        <is>
          <t>En développement</t>
        </is>
      </c>
      <c r="W17" s="58" t="n">
        <v>45994</v>
      </c>
      <c r="X17" s="58" t="n"/>
      <c r="Y17" s="57" t="inlineStr">
        <is>
          <t>Recommandation</t>
        </is>
      </c>
      <c r="Z17" s="59" t="n">
        <v>280000</v>
      </c>
      <c r="AA17" s="59">
        <f>SUMIFS(Commandes!$K$2:$K$3000,Commandes!$D$2:$D$3000,A17,Commandes!$C$2:$C$3000,"&gt;"&amp;(DateExport-365),Commandes!$C$2:$C$3000,"&lt;="&amp;DateExport)</f>
        <v/>
      </c>
      <c r="AB17" s="60">
        <f>COUNTIFS(Transactions!$C$2:$C$3000,A17,Transactions!$N$2:$N$3000,"Ouverte")</f>
        <v/>
      </c>
      <c r="AC17" s="59">
        <f>SUMIFS(Transactions!$L$2:$L$3000,Transactions!$C$2:$C$3000,A17,Transactions!$N$2:$N$3000,"Ouverte")</f>
        <v/>
      </c>
      <c r="AD17" s="60">
        <f>COUNTIFS(Tickets!$C$2:$C$3000,A17,Tickets!$I$2:$I$3000,"&lt;&gt;Fermé")</f>
        <v/>
      </c>
      <c r="AE17" s="58">
        <f>IF(COUNTIFS(Activités!$D$2:$D$3000,A17,Activités!$B$2:$B$3000,"&lt;="&amp;DateExport)=0,"",_xlfn.MAXIFS(Activités!$B$2:$B$3000,Activités!$D$2:$D$3000,A17,Activités!$B$2:$B$3000,"&lt;="&amp;DateExport))</f>
        <v/>
      </c>
      <c r="AF17" s="58">
        <f>IF(COUNTIFS('Rendez-vous'!$F$2:$F$3000,A17,'Rendez-vous'!$B$2:$B$3000,"&gt;="&amp;DateExport)=0,"",_xlfn.MINIFS('Rendez-vous'!$B$2:$B$3000,'Rendez-vous'!$F$2:$F$3000,A17,'Rendez-vous'!$B$2:$B$3000,"&gt;="&amp;DateExport))</f>
        <v/>
      </c>
      <c r="AG17" s="57" t="inlineStr">
        <is>
          <t>Kartéa Pharma Pack</t>
        </is>
      </c>
      <c r="AH17" s="57" t="inlineStr">
        <is>
          <t>60 jours</t>
        </is>
      </c>
      <c r="AI17" s="40" t="inlineStr">
        <is>
          <t>Opportunité sur les étuis et la sérialisation d'une nouvelle ligne de produits vétérinaires.</t>
        </is>
      </c>
      <c r="AJ17" s="40" t="inlineStr">
        <is>
          <t>Choix d'un fournisseur de sérialisation pour une ligne prévue mi-2027 ; calendrier serré.</t>
        </is>
      </c>
    </row>
    <row r="18" ht="23.85" customHeight="1" s="34">
      <c r="A18" s="57" t="inlineStr">
        <is>
          <t>E017</t>
        </is>
      </c>
      <c r="B18" s="57" t="inlineStr">
        <is>
          <t>Rémy Cointreau</t>
        </is>
      </c>
      <c r="C18" s="57" t="inlineStr">
        <is>
          <t>remy-cointreau.com</t>
        </is>
      </c>
      <c r="D18" s="61" t="inlineStr">
        <is>
          <t>https://www.remy-cointreau.com</t>
        </is>
      </c>
      <c r="E18" s="40" t="inlineStr">
        <is>
          <t>Groupe de spiritueux premium (Rémy Martin, Louis XIII, Cointreau, The Botanist).</t>
        </is>
      </c>
      <c r="F18" s="57" t="inlineStr">
        <is>
          <t>Vins et spiritueux</t>
        </is>
      </c>
      <c r="G18" s="57" t="inlineStr">
        <is>
          <t>Cognac et liqueurs</t>
        </is>
      </c>
      <c r="H18" s="57" t="inlineStr">
        <is>
          <t>Grand compte</t>
        </is>
      </c>
      <c r="I18" s="57" t="inlineStr">
        <is>
          <t>1 000 - 4 999</t>
        </is>
      </c>
      <c r="J18" s="57" t="inlineStr">
        <is>
          <t>100 M€ - 1 Md€</t>
        </is>
      </c>
      <c r="K18" s="57" t="inlineStr">
        <is>
          <t>20 rue de la Société Vinicole</t>
        </is>
      </c>
      <c r="L18" s="57" t="inlineStr">
        <is>
          <t>16100</t>
        </is>
      </c>
      <c r="M18" s="57" t="inlineStr">
        <is>
          <t>Cognac</t>
        </is>
      </c>
      <c r="N18" s="57" t="inlineStr">
        <is>
          <t>Nouvelle-Aquitaine</t>
        </is>
      </c>
      <c r="O18" s="57" t="inlineStr">
        <is>
          <t>France</t>
        </is>
      </c>
      <c r="P18" s="57" t="inlineStr">
        <is>
          <t>Rémy Cointreau</t>
        </is>
      </c>
      <c r="Q18" s="57" t="inlineStr">
        <is>
          <t>Oui</t>
        </is>
      </c>
      <c r="R18" s="57" t="inlineStr">
        <is>
          <t>RCO.PA</t>
        </is>
      </c>
      <c r="S18" s="57" t="inlineStr">
        <is>
          <t>U005</t>
        </is>
      </c>
      <c r="T18" s="57">
        <f>IFERROR(INDEX(Commerciaux!$D$2:$D$3000,MATCH(S18,Commerciaux!$A$2:$A$3000,0)),"")</f>
        <v/>
      </c>
      <c r="U18" s="57" t="inlineStr">
        <is>
          <t>Client</t>
        </is>
      </c>
      <c r="V18" s="57" t="inlineStr">
        <is>
          <t>Actif</t>
        </is>
      </c>
      <c r="W18" s="58" t="n">
        <v>44109</v>
      </c>
      <c r="X18" s="58" t="n">
        <v>44270</v>
      </c>
      <c r="Y18" s="57" t="inlineStr">
        <is>
          <t>Salon professionnel</t>
        </is>
      </c>
      <c r="Z18" s="59" t="n">
        <v>480000</v>
      </c>
      <c r="AA18" s="59">
        <f>SUMIFS(Commandes!$K$2:$K$3000,Commandes!$D$2:$D$3000,A18,Commandes!$C$2:$C$3000,"&gt;"&amp;(DateExport-365),Commandes!$C$2:$C$3000,"&lt;="&amp;DateExport)</f>
        <v/>
      </c>
      <c r="AB18" s="60">
        <f>COUNTIFS(Transactions!$C$2:$C$3000,A18,Transactions!$N$2:$N$3000,"Ouverte")</f>
        <v/>
      </c>
      <c r="AC18" s="59">
        <f>SUMIFS(Transactions!$L$2:$L$3000,Transactions!$C$2:$C$3000,A18,Transactions!$N$2:$N$3000,"Ouverte")</f>
        <v/>
      </c>
      <c r="AD18" s="60">
        <f>COUNTIFS(Tickets!$C$2:$C$3000,A18,Tickets!$I$2:$I$3000,"&lt;&gt;Fermé")</f>
        <v/>
      </c>
      <c r="AE18" s="58">
        <f>IF(COUNTIFS(Activités!$D$2:$D$3000,A18,Activités!$B$2:$B$3000,"&lt;="&amp;DateExport)=0,"",_xlfn.MAXIFS(Activités!$B$2:$B$3000,Activités!$D$2:$D$3000,A18,Activités!$B$2:$B$3000,"&lt;="&amp;DateExport))</f>
        <v/>
      </c>
      <c r="AF18" s="58">
        <f>IF(COUNTIFS('Rendez-vous'!$F$2:$F$3000,A18,'Rendez-vous'!$B$2:$B$3000,"&gt;="&amp;DateExport)=0,"",_xlfn.MINIFS('Rendez-vous'!$B$2:$B$3000,'Rendez-vous'!$F$2:$F$3000,A18,'Rendez-vous'!$B$2:$B$3000,"&gt;="&amp;DateExport))</f>
        <v/>
      </c>
      <c r="AG18" s="57" t="inlineStr">
        <is>
          <t>Kartéa Luxe</t>
        </is>
      </c>
      <c r="AH18" s="57" t="inlineStr">
        <is>
          <t>60 jours</t>
        </is>
      </c>
      <c r="AI18" s="40" t="inlineStr">
        <is>
          <t>Client sur les étuis spiritueux et les coffrets premium. Forte saisonnalité liée aux fêtes de fin d'année.</t>
        </is>
      </c>
      <c r="AJ18" s="40" t="inlineStr">
        <is>
          <t>Sécuriser les capacités pour la saison 2027 ; projet de coffret réutilisable pour la gamme premium.</t>
        </is>
      </c>
    </row>
    <row r="19" ht="23.85" customHeight="1" s="34">
      <c r="A19" s="57" t="inlineStr">
        <is>
          <t>E018</t>
        </is>
      </c>
      <c r="B19" s="57" t="inlineStr">
        <is>
          <t>Maison Ferrand</t>
        </is>
      </c>
      <c r="C19" s="57" t="inlineStr">
        <is>
          <t>maisonferrand.com</t>
        </is>
      </c>
      <c r="D19" s="61" t="inlineStr">
        <is>
          <t>https://www.maisonferrand.com</t>
        </is>
      </c>
      <c r="E19" s="40" t="inlineStr">
        <is>
          <t>Maison de spiritueux (Cognac Ferrand, rhums Planteray, gin Citadelle).</t>
        </is>
      </c>
      <c r="F19" s="57" t="inlineStr">
        <is>
          <t>Vins et spiritueux</t>
        </is>
      </c>
      <c r="G19" s="57" t="inlineStr">
        <is>
          <t>Cognac et rhums</t>
        </is>
      </c>
      <c r="H19" s="57" t="inlineStr">
        <is>
          <t>PME</t>
        </is>
      </c>
      <c r="I19" s="57" t="inlineStr">
        <is>
          <t>50 - 249</t>
        </is>
      </c>
      <c r="J19" s="57" t="inlineStr">
        <is>
          <t>Non publié</t>
        </is>
      </c>
      <c r="K19" s="57" t="inlineStr">
        <is>
          <t>Château de Bonbonnet</t>
        </is>
      </c>
      <c r="L19" s="57" t="inlineStr">
        <is>
          <t>16130</t>
        </is>
      </c>
      <c r="M19" s="57" t="inlineStr">
        <is>
          <t>Ars</t>
        </is>
      </c>
      <c r="N19" s="57" t="inlineStr">
        <is>
          <t>Nouvelle-Aquitaine</t>
        </is>
      </c>
      <c r="O19" s="57" t="inlineStr">
        <is>
          <t>France</t>
        </is>
      </c>
      <c r="P19" s="57" t="inlineStr">
        <is>
          <t>Maison Ferrand</t>
        </is>
      </c>
      <c r="Q19" s="57" t="inlineStr">
        <is>
          <t>Non</t>
        </is>
      </c>
      <c r="R19" s="57" t="n"/>
      <c r="S19" s="57" t="inlineStr">
        <is>
          <t>U005</t>
        </is>
      </c>
      <c r="T19" s="57">
        <f>IFERROR(INDEX(Commerciaux!$D$2:$D$3000,MATCH(S19,Commerciaux!$A$2:$A$3000,0)),"")</f>
        <v/>
      </c>
      <c r="U19" s="57" t="inlineStr">
        <is>
          <t>Client</t>
        </is>
      </c>
      <c r="V19" s="57" t="inlineStr">
        <is>
          <t>Actif</t>
        </is>
      </c>
      <c r="W19" s="58" t="n">
        <v>44655</v>
      </c>
      <c r="X19" s="58" t="n">
        <v>44816</v>
      </c>
      <c r="Y19" s="57" t="inlineStr">
        <is>
          <t>Recommandation</t>
        </is>
      </c>
      <c r="Z19" s="59" t="n">
        <v>90000</v>
      </c>
      <c r="AA19" s="59">
        <f>SUMIFS(Commandes!$K$2:$K$3000,Commandes!$D$2:$D$3000,A19,Commandes!$C$2:$C$3000,"&gt;"&amp;(DateExport-365),Commandes!$C$2:$C$3000,"&lt;="&amp;DateExport)</f>
        <v/>
      </c>
      <c r="AB19" s="60">
        <f>COUNTIFS(Transactions!$C$2:$C$3000,A19,Transactions!$N$2:$N$3000,"Ouverte")</f>
        <v/>
      </c>
      <c r="AC19" s="59">
        <f>SUMIFS(Transactions!$L$2:$L$3000,Transactions!$C$2:$C$3000,A19,Transactions!$N$2:$N$3000,"Ouverte")</f>
        <v/>
      </c>
      <c r="AD19" s="60">
        <f>COUNTIFS(Tickets!$C$2:$C$3000,A19,Tickets!$I$2:$I$3000,"&lt;&gt;Fermé")</f>
        <v/>
      </c>
      <c r="AE19" s="58">
        <f>IF(COUNTIFS(Activités!$D$2:$D$3000,A19,Activités!$B$2:$B$3000,"&lt;="&amp;DateExport)=0,"",_xlfn.MAXIFS(Activités!$B$2:$B$3000,Activités!$D$2:$D$3000,A19,Activités!$B$2:$B$3000,"&lt;="&amp;DateExport))</f>
        <v/>
      </c>
      <c r="AF19" s="58">
        <f>IF(COUNTIFS('Rendez-vous'!$F$2:$F$3000,A19,'Rendez-vous'!$B$2:$B$3000,"&gt;="&amp;DateExport)=0,"",_xlfn.MINIFS('Rendez-vous'!$B$2:$B$3000,'Rendez-vous'!$F$2:$F$3000,A19,'Rendez-vous'!$B$2:$B$3000,"&gt;="&amp;DateExport))</f>
        <v/>
      </c>
      <c r="AG19" s="57" t="n"/>
      <c r="AH19" s="57" t="inlineStr">
        <is>
          <t>30 jours</t>
        </is>
      </c>
      <c r="AI19" s="40" t="inlineStr">
        <is>
          <t>Petit client très exigeant sur le design, commandes en petites séries.</t>
        </is>
      </c>
      <c r="AJ19" s="40" t="inlineStr">
        <is>
          <t>Étuis d'une édition limitée de fin d'année ; souplesse attendue sur les minimums de commande.</t>
        </is>
      </c>
    </row>
    <row r="20" ht="23.85" customHeight="1" s="34">
      <c r="A20" s="57" t="inlineStr">
        <is>
          <t>E019</t>
        </is>
      </c>
      <c r="B20" s="57" t="inlineStr">
        <is>
          <t>Pierre Fabre</t>
        </is>
      </c>
      <c r="C20" s="57" t="inlineStr">
        <is>
          <t>pierre-fabre.com</t>
        </is>
      </c>
      <c r="D20" s="61" t="inlineStr">
        <is>
          <t>https://www.pierre-fabre.com</t>
        </is>
      </c>
      <c r="E20" s="40" t="inlineStr">
        <is>
          <t>Groupe pharmaceutique et dermo-cosmétique (Avène, Ducray, Klorane, René Furterer).</t>
        </is>
      </c>
      <c r="F20" s="57" t="inlineStr">
        <is>
          <t>Pharmaceutique et santé</t>
        </is>
      </c>
      <c r="G20" s="57" t="inlineStr">
        <is>
          <t>Dermo-cosmétique et médicament</t>
        </is>
      </c>
      <c r="H20" s="57" t="inlineStr">
        <is>
          <t>Grand compte</t>
        </is>
      </c>
      <c r="I20" s="57" t="inlineStr">
        <is>
          <t>5 000 - 9 999</t>
        </is>
      </c>
      <c r="J20" s="57" t="inlineStr">
        <is>
          <t>1 - 10 Md€</t>
        </is>
      </c>
      <c r="K20" s="57" t="inlineStr">
        <is>
          <t>Parc industriel de la Chartreuse, 40 rue Albert Calmette</t>
        </is>
      </c>
      <c r="L20" s="57" t="inlineStr">
        <is>
          <t>81100</t>
        </is>
      </c>
      <c r="M20" s="57" t="inlineStr">
        <is>
          <t>Castres</t>
        </is>
      </c>
      <c r="N20" s="57" t="inlineStr">
        <is>
          <t>Occitanie</t>
        </is>
      </c>
      <c r="O20" s="57" t="inlineStr">
        <is>
          <t>France</t>
        </is>
      </c>
      <c r="P20" s="57" t="inlineStr">
        <is>
          <t>Groupe Pierre Fabre</t>
        </is>
      </c>
      <c r="Q20" s="57" t="inlineStr">
        <is>
          <t>Non</t>
        </is>
      </c>
      <c r="R20" s="57" t="n"/>
      <c r="S20" s="57" t="inlineStr">
        <is>
          <t>U005</t>
        </is>
      </c>
      <c r="T20" s="57">
        <f>IFERROR(INDEX(Commerciaux!$D$2:$D$3000,MATCH(S20,Commerciaux!$A$2:$A$3000,0)),"")</f>
        <v/>
      </c>
      <c r="U20" s="57" t="inlineStr">
        <is>
          <t>Client</t>
        </is>
      </c>
      <c r="V20" s="57" t="inlineStr">
        <is>
          <t>À surveiller</t>
        </is>
      </c>
      <c r="W20" s="58" t="n">
        <v>44361</v>
      </c>
      <c r="X20" s="58" t="n">
        <v>44502</v>
      </c>
      <c r="Y20" s="57" t="inlineStr">
        <is>
          <t>Prospection terrain</t>
        </is>
      </c>
      <c r="Z20" s="59" t="n">
        <v>360000</v>
      </c>
      <c r="AA20" s="59">
        <f>SUMIFS(Commandes!$K$2:$K$3000,Commandes!$D$2:$D$3000,A20,Commandes!$C$2:$C$3000,"&gt;"&amp;(DateExport-365),Commandes!$C$2:$C$3000,"&lt;="&amp;DateExport)</f>
        <v/>
      </c>
      <c r="AB20" s="60">
        <f>COUNTIFS(Transactions!$C$2:$C$3000,A20,Transactions!$N$2:$N$3000,"Ouverte")</f>
        <v/>
      </c>
      <c r="AC20" s="59">
        <f>SUMIFS(Transactions!$L$2:$L$3000,Transactions!$C$2:$C$3000,A20,Transactions!$N$2:$N$3000,"Ouverte")</f>
        <v/>
      </c>
      <c r="AD20" s="60">
        <f>COUNTIFS(Tickets!$C$2:$C$3000,A20,Tickets!$I$2:$I$3000,"&lt;&gt;Fermé")</f>
        <v/>
      </c>
      <c r="AE20" s="58">
        <f>IF(COUNTIFS(Activités!$D$2:$D$3000,A20,Activités!$B$2:$B$3000,"&lt;="&amp;DateExport)=0,"",_xlfn.MAXIFS(Activités!$B$2:$B$3000,Activités!$D$2:$D$3000,A20,Activités!$B$2:$B$3000,"&lt;="&amp;DateExport))</f>
        <v/>
      </c>
      <c r="AF20" s="58">
        <f>IF(COUNTIFS('Rendez-vous'!$F$2:$F$3000,A20,'Rendez-vous'!$B$2:$B$3000,"&gt;="&amp;DateExport)=0,"",_xlfn.MINIFS('Rendez-vous'!$B$2:$B$3000,'Rendez-vous'!$F$2:$F$3000,A20,'Rendez-vous'!$B$2:$B$3000,"&gt;="&amp;DateExport))</f>
        <v/>
      </c>
      <c r="AG20" s="57" t="inlineStr">
        <is>
          <t>Kartéa Pharma Pack</t>
        </is>
      </c>
      <c r="AH20" s="57" t="inlineStr">
        <is>
          <t>60 jours</t>
        </is>
      </c>
      <c r="AI20" s="40" t="inlineStr">
        <is>
          <t>Client sur les étuis dermo-cosmétiques et les notices. Un ticket qualité est ouvert sur un défaut de pliage.</t>
        </is>
      </c>
      <c r="AJ20" s="40" t="inlineStr">
        <is>
          <t>Résoudre le défaut de pliage ; renouvellement du contrat étuis en janvier 2027.</t>
        </is>
      </c>
    </row>
    <row r="21" ht="23.85" customHeight="1" s="34">
      <c r="A21" s="57" t="inlineStr">
        <is>
          <t>E020</t>
        </is>
      </c>
      <c r="B21" s="57" t="inlineStr">
        <is>
          <t>Andros</t>
        </is>
      </c>
      <c r="C21" s="57" t="inlineStr">
        <is>
          <t>andros.fr</t>
        </is>
      </c>
      <c r="D21" s="61" t="inlineStr">
        <is>
          <t>https://www.andros.fr</t>
        </is>
      </c>
      <c r="E21" s="40" t="inlineStr">
        <is>
          <t>Groupe familial agroalimentaire (confitures, compotes, desserts, jus de fruits ; marques Andros et Bonne Maman).</t>
        </is>
      </c>
      <c r="F21" s="57" t="inlineStr">
        <is>
          <t>Grande consommation</t>
        </is>
      </c>
      <c r="G21" s="57" t="inlineStr">
        <is>
          <t>Fruits transformés et desserts</t>
        </is>
      </c>
      <c r="H21" s="57" t="inlineStr">
        <is>
          <t>Grand compte</t>
        </is>
      </c>
      <c r="I21" s="57" t="inlineStr">
        <is>
          <t>5 000 - 9 999</t>
        </is>
      </c>
      <c r="J21" s="57" t="inlineStr">
        <is>
          <t>1 - 10 Md€</t>
        </is>
      </c>
      <c r="K21" s="57" t="inlineStr">
        <is>
          <t>Zone industrielle</t>
        </is>
      </c>
      <c r="L21" s="57" t="inlineStr">
        <is>
          <t>46130</t>
        </is>
      </c>
      <c r="M21" s="57" t="inlineStr">
        <is>
          <t>Biars-sur-Cère</t>
        </is>
      </c>
      <c r="N21" s="57" t="inlineStr">
        <is>
          <t>Occitanie</t>
        </is>
      </c>
      <c r="O21" s="57" t="inlineStr">
        <is>
          <t>France</t>
        </is>
      </c>
      <c r="P21" s="57" t="inlineStr">
        <is>
          <t>Groupe Andros</t>
        </is>
      </c>
      <c r="Q21" s="57" t="inlineStr">
        <is>
          <t>Non</t>
        </is>
      </c>
      <c r="R21" s="57" t="n"/>
      <c r="S21" s="57" t="inlineStr">
        <is>
          <t>U005</t>
        </is>
      </c>
      <c r="T21" s="57">
        <f>IFERROR(INDEX(Commerciaux!$D$2:$D$3000,MATCH(S21,Commerciaux!$A$2:$A$3000,0)),"")</f>
        <v/>
      </c>
      <c r="U21" s="57" t="inlineStr">
        <is>
          <t>Opportunité</t>
        </is>
      </c>
      <c r="V21" s="57" t="inlineStr">
        <is>
          <t>En développement</t>
        </is>
      </c>
      <c r="W21" s="58" t="n">
        <v>46083</v>
      </c>
      <c r="X21" s="58" t="n"/>
      <c r="Y21" s="57" t="inlineStr">
        <is>
          <t>Salon professionnel</t>
        </is>
      </c>
      <c r="Z21" s="59" t="n">
        <v>260000</v>
      </c>
      <c r="AA21" s="59">
        <f>SUMIFS(Commandes!$K$2:$K$3000,Commandes!$D$2:$D$3000,A21,Commandes!$C$2:$C$3000,"&gt;"&amp;(DateExport-365),Commandes!$C$2:$C$3000,"&lt;="&amp;DateExport)</f>
        <v/>
      </c>
      <c r="AB21" s="60">
        <f>COUNTIFS(Transactions!$C$2:$C$3000,A21,Transactions!$N$2:$N$3000,"Ouverte")</f>
        <v/>
      </c>
      <c r="AC21" s="59">
        <f>SUMIFS(Transactions!$L$2:$L$3000,Transactions!$C$2:$C$3000,A21,Transactions!$N$2:$N$3000,"Ouverte")</f>
        <v/>
      </c>
      <c r="AD21" s="60">
        <f>COUNTIFS(Tickets!$C$2:$C$3000,A21,Tickets!$I$2:$I$3000,"&lt;&gt;Fermé")</f>
        <v/>
      </c>
      <c r="AE21" s="58">
        <f>IF(COUNTIFS(Activités!$D$2:$D$3000,A21,Activités!$B$2:$B$3000,"&lt;="&amp;DateExport)=0,"",_xlfn.MAXIFS(Activités!$B$2:$B$3000,Activités!$D$2:$D$3000,A21,Activités!$B$2:$B$3000,"&lt;="&amp;DateExport))</f>
        <v/>
      </c>
      <c r="AF21" s="58">
        <f>IF(COUNTIFS('Rendez-vous'!$F$2:$F$3000,A21,'Rendez-vous'!$B$2:$B$3000,"&gt;="&amp;DateExport)=0,"",_xlfn.MINIFS('Rendez-vous'!$B$2:$B$3000,'Rendez-vous'!$F$2:$F$3000,A21,'Rendez-vous'!$B$2:$B$3000,"&gt;="&amp;DateExport))</f>
        <v/>
      </c>
      <c r="AG21" s="57" t="inlineStr">
        <is>
          <t>Emballor Industries</t>
        </is>
      </c>
      <c r="AH21" s="57" t="inlineStr">
        <is>
          <t>60 jours</t>
        </is>
      </c>
      <c r="AI21" s="40" t="inlineStr">
        <is>
          <t>Opportunité sur les caisses carton et l'étiquetage d'une nouvelle gamme lancée en 2027.</t>
        </is>
      </c>
      <c r="AJ21" s="40" t="inlineStr">
        <is>
          <t>Trouver un fournisseur capable de suivre une montée en volume rapide, avec de la souplesse la première année.</t>
        </is>
      </c>
    </row>
    <row r="22" ht="35.05" customHeight="1" s="34">
      <c r="A22" s="57" t="inlineStr">
        <is>
          <t>E021</t>
        </is>
      </c>
      <c r="B22" s="57" t="inlineStr">
        <is>
          <t>Volterra</t>
        </is>
      </c>
      <c r="C22" s="57" t="inlineStr">
        <is>
          <t>volterra.example</t>
        </is>
      </c>
      <c r="D22" s="61" t="inlineStr">
        <is>
          <t>https://www.volterra.example</t>
        </is>
      </c>
      <c r="E22" s="40" t="inlineStr">
        <is>
          <t>Spécialiste mondial des infrastructures électriques et numériques du bâtiment.</t>
        </is>
      </c>
      <c r="F22" s="57" t="inlineStr">
        <is>
          <t>Équipements et matériaux</t>
        </is>
      </c>
      <c r="G22" s="57" t="inlineStr">
        <is>
          <t>Matériel électrique</t>
        </is>
      </c>
      <c r="H22" s="57" t="inlineStr">
        <is>
          <t>Grand compte</t>
        </is>
      </c>
      <c r="I22" s="57" t="inlineStr">
        <is>
          <t>10 000 et plus</t>
        </is>
      </c>
      <c r="J22" s="57" t="inlineStr">
        <is>
          <t>1 - 10 Md€</t>
        </is>
      </c>
      <c r="K22" s="57" t="inlineStr">
        <is>
          <t>12 rue des Isolants</t>
        </is>
      </c>
      <c r="L22" s="57" t="inlineStr">
        <is>
          <t>86000</t>
        </is>
      </c>
      <c r="M22" s="57" t="inlineStr">
        <is>
          <t>Poitiers</t>
        </is>
      </c>
      <c r="N22" s="57" t="inlineStr">
        <is>
          <t>Nouvelle-Aquitaine</t>
        </is>
      </c>
      <c r="O22" s="57" t="inlineStr">
        <is>
          <t>France</t>
        </is>
      </c>
      <c r="P22" s="57" t="inlineStr">
        <is>
          <t>Groupe Volterra</t>
        </is>
      </c>
      <c r="Q22" s="57" t="inlineStr">
        <is>
          <t>Oui</t>
        </is>
      </c>
      <c r="R22" s="57" t="inlineStr">
        <is>
          <t/>
        </is>
      </c>
      <c r="S22" s="57" t="inlineStr">
        <is>
          <t>U005</t>
        </is>
      </c>
      <c r="T22" s="57">
        <f>IFERROR(INDEX(Commerciaux!$D$2:$D$3000,MATCH(S22,Commerciaux!$A$2:$A$3000,0)),"")</f>
        <v/>
      </c>
      <c r="U22" s="57" t="inlineStr">
        <is>
          <t>Client</t>
        </is>
      </c>
      <c r="V22" s="57" t="inlineStr">
        <is>
          <t>Actif</t>
        </is>
      </c>
      <c r="W22" s="58" t="n">
        <v>43850</v>
      </c>
      <c r="X22" s="58" t="n">
        <v>43990</v>
      </c>
      <c r="Y22" s="57" t="inlineStr">
        <is>
          <t>Recommandation</t>
        </is>
      </c>
      <c r="Z22" s="59" t="n">
        <v>450000</v>
      </c>
      <c r="AA22" s="59">
        <f>SUMIFS(Commandes!$K$2:$K$3000,Commandes!$D$2:$D$3000,A22,Commandes!$C$2:$C$3000,"&gt;"&amp;(DateExport-365),Commandes!$C$2:$C$3000,"&lt;="&amp;DateExport)</f>
        <v/>
      </c>
      <c r="AB22" s="60">
        <f>COUNTIFS(Transactions!$C$2:$C$3000,A22,Transactions!$N$2:$N$3000,"Ouverte")</f>
        <v/>
      </c>
      <c r="AC22" s="59">
        <f>SUMIFS(Transactions!$L$2:$L$3000,Transactions!$C$2:$C$3000,A22,Transactions!$N$2:$N$3000,"Ouverte")</f>
        <v/>
      </c>
      <c r="AD22" s="60">
        <f>COUNTIFS(Tickets!$C$2:$C$3000,A22,Tickets!$I$2:$I$3000,"&lt;&gt;Fermé")</f>
        <v/>
      </c>
      <c r="AE22" s="58">
        <f>IF(COUNTIFS(Activités!$D$2:$D$3000,A22,Activités!$B$2:$B$3000,"&lt;="&amp;DateExport)=0,"",_xlfn.MAXIFS(Activités!$B$2:$B$3000,Activités!$D$2:$D$3000,A22,Activités!$B$2:$B$3000,"&lt;="&amp;DateExport))</f>
        <v/>
      </c>
      <c r="AF22" s="58">
        <f>IF(COUNTIFS('Rendez-vous'!$F$2:$F$3000,A22,'Rendez-vous'!$B$2:$B$3000,"&gt;="&amp;DateExport)=0,"",_xlfn.MINIFS('Rendez-vous'!$B$2:$B$3000,'Rendez-vous'!$F$2:$F$3000,A22,'Rendez-vous'!$B$2:$B$3000,"&gt;="&amp;DateExport))</f>
        <v/>
      </c>
      <c r="AG22" s="57" t="inlineStr">
        <is>
          <t>Emballor Industries</t>
        </is>
      </c>
      <c r="AH22" s="57" t="inlineStr">
        <is>
          <t>60 jours</t>
        </is>
      </c>
      <c r="AI22" s="40" t="inlineStr">
        <is>
          <t>Client sur les caisses carton et les emballages éco-conçus de l'appareillage électrique. Une étiqueteuse ETQ-400 est installée sur le site de Poitiers.</t>
        </is>
      </c>
      <c r="AJ22" s="40" t="inlineStr">
        <is>
          <t>Réduction du plastique dans les emballages de vente ; déploiement sur deux usines supplémentaires.</t>
        </is>
      </c>
    </row>
    <row r="23" ht="35.05" customHeight="1" s="34">
      <c r="A23" s="57" t="inlineStr">
        <is>
          <t>E022</t>
        </is>
      </c>
      <c r="B23" s="57" t="inlineStr">
        <is>
          <t>Sanofi</t>
        </is>
      </c>
      <c r="C23" s="57" t="inlineStr">
        <is>
          <t>sanofi.com</t>
        </is>
      </c>
      <c r="D23" s="61" t="inlineStr">
        <is>
          <t>https://www.sanofi.com</t>
        </is>
      </c>
      <c r="E23" s="40" t="inlineStr">
        <is>
          <t>Groupe biopharmaceutique mondial (médicaments de spécialité, vaccins, médicaments généraux).</t>
        </is>
      </c>
      <c r="F23" s="57" t="inlineStr">
        <is>
          <t>Pharmaceutique et santé</t>
        </is>
      </c>
      <c r="G23" s="57" t="inlineStr">
        <is>
          <t>Médicaments de prescription et vaccins</t>
        </is>
      </c>
      <c r="H23" s="57" t="inlineStr">
        <is>
          <t>Grand compte</t>
        </is>
      </c>
      <c r="I23" s="57" t="inlineStr">
        <is>
          <t>10 000 et plus</t>
        </is>
      </c>
      <c r="J23" s="57" t="inlineStr">
        <is>
          <t>Plus de 10 Md€</t>
        </is>
      </c>
      <c r="K23" s="57" t="inlineStr">
        <is>
          <t>46 avenue de la Grande Armée</t>
        </is>
      </c>
      <c r="L23" s="57" t="inlineStr">
        <is>
          <t>75017</t>
        </is>
      </c>
      <c r="M23" s="57" t="inlineStr">
        <is>
          <t>Paris</t>
        </is>
      </c>
      <c r="N23" s="57" t="inlineStr">
        <is>
          <t>Île-de-France</t>
        </is>
      </c>
      <c r="O23" s="57" t="inlineStr">
        <is>
          <t>France</t>
        </is>
      </c>
      <c r="P23" s="57" t="inlineStr">
        <is>
          <t>Groupe Sanofi</t>
        </is>
      </c>
      <c r="Q23" s="57" t="inlineStr">
        <is>
          <t>Oui</t>
        </is>
      </c>
      <c r="R23" s="57" t="inlineStr">
        <is>
          <t>SAN.PA</t>
        </is>
      </c>
      <c r="S23" s="57" t="inlineStr">
        <is>
          <t>U006</t>
        </is>
      </c>
      <c r="T23" s="57">
        <f>IFERROR(INDEX(Commerciaux!$D$2:$D$3000,MATCH(S23,Commerciaux!$A$2:$A$3000,0)),"")</f>
        <v/>
      </c>
      <c r="U23" s="57" t="inlineStr">
        <is>
          <t>Client</t>
        </is>
      </c>
      <c r="V23" s="57" t="inlineStr">
        <is>
          <t>Actif</t>
        </is>
      </c>
      <c r="W23" s="58" t="n">
        <v>43437</v>
      </c>
      <c r="X23" s="58" t="n">
        <v>43605</v>
      </c>
      <c r="Y23" s="57" t="inlineStr">
        <is>
          <t>Prospection terrain</t>
        </is>
      </c>
      <c r="Z23" s="59" t="n">
        <v>1200000</v>
      </c>
      <c r="AA23" s="59">
        <f>SUMIFS(Commandes!$K$2:$K$3000,Commandes!$D$2:$D$3000,A23,Commandes!$C$2:$C$3000,"&gt;"&amp;(DateExport-365),Commandes!$C$2:$C$3000,"&lt;="&amp;DateExport)</f>
        <v/>
      </c>
      <c r="AB23" s="60">
        <f>COUNTIFS(Transactions!$C$2:$C$3000,A23,Transactions!$N$2:$N$3000,"Ouverte")</f>
        <v/>
      </c>
      <c r="AC23" s="59">
        <f>SUMIFS(Transactions!$L$2:$L$3000,Transactions!$C$2:$C$3000,A23,Transactions!$N$2:$N$3000,"Ouverte")</f>
        <v/>
      </c>
      <c r="AD23" s="60">
        <f>COUNTIFS(Tickets!$C$2:$C$3000,A23,Tickets!$I$2:$I$3000,"&lt;&gt;Fermé")</f>
        <v/>
      </c>
      <c r="AE23" s="58">
        <f>IF(COUNTIFS(Activités!$D$2:$D$3000,A23,Activités!$B$2:$B$3000,"&lt;="&amp;DateExport)=0,"",_xlfn.MAXIFS(Activités!$B$2:$B$3000,Activités!$D$2:$D$3000,A23,Activités!$B$2:$B$3000,"&lt;="&amp;DateExport))</f>
        <v/>
      </c>
      <c r="AF23" s="58">
        <f>IF(COUNTIFS('Rendez-vous'!$F$2:$F$3000,A23,'Rendez-vous'!$B$2:$B$3000,"&gt;="&amp;DateExport)=0,"",_xlfn.MINIFS('Rendez-vous'!$B$2:$B$3000,'Rendez-vous'!$F$2:$F$3000,A23,'Rendez-vous'!$B$2:$B$3000,"&gt;="&amp;DateExport))</f>
        <v/>
      </c>
      <c r="AG23" s="57" t="inlineStr">
        <is>
          <t>Kartéa Pharma Pack</t>
        </is>
      </c>
      <c r="AH23" s="57" t="inlineStr">
        <is>
          <t>60 jours</t>
        </is>
      </c>
      <c r="AI23" s="40" t="inlineStr">
        <is>
          <t>Grand compte stratégique. Accord-cadre national sur les étuis et notices, décliné par site de production. Plusieurs interlocuteurs achats et industriels.</t>
        </is>
      </c>
      <c r="AJ23" s="40" t="inlineStr">
        <is>
          <t>Renouvellement de l'accord-cadre en 2027 ; déploiement de la sérialisation sur un site supplémentaire.</t>
        </is>
      </c>
    </row>
    <row r="24" ht="23.85" customHeight="1" s="34">
      <c r="A24" s="57" t="inlineStr">
        <is>
          <t>E023</t>
        </is>
      </c>
      <c r="B24" s="57" t="inlineStr">
        <is>
          <t>Ipsen</t>
        </is>
      </c>
      <c r="C24" s="57" t="inlineStr">
        <is>
          <t>ipsen.com</t>
        </is>
      </c>
      <c r="D24" s="61" t="inlineStr">
        <is>
          <t>https://www.ipsen.com</t>
        </is>
      </c>
      <c r="E24" s="40" t="inlineStr">
        <is>
          <t>Groupe biopharmaceutique spécialisé en oncologie, maladies rares et neurosciences.</t>
        </is>
      </c>
      <c r="F24" s="57" t="inlineStr">
        <is>
          <t>Pharmaceutique et santé</t>
        </is>
      </c>
      <c r="G24" s="57" t="inlineStr">
        <is>
          <t>Médicaments de spécialité</t>
        </is>
      </c>
      <c r="H24" s="57" t="inlineStr">
        <is>
          <t>Grand compte</t>
        </is>
      </c>
      <c r="I24" s="57" t="inlineStr">
        <is>
          <t>5 000 - 9 999</t>
        </is>
      </c>
      <c r="J24" s="57" t="inlineStr">
        <is>
          <t>1 - 10 Md€</t>
        </is>
      </c>
      <c r="K24" s="57" t="inlineStr">
        <is>
          <t>65 quai Georges Gorse</t>
        </is>
      </c>
      <c r="L24" s="57" t="inlineStr">
        <is>
          <t>92100</t>
        </is>
      </c>
      <c r="M24" s="57" t="inlineStr">
        <is>
          <t>Boulogne-Billancourt</t>
        </is>
      </c>
      <c r="N24" s="57" t="inlineStr">
        <is>
          <t>Île-de-France</t>
        </is>
      </c>
      <c r="O24" s="57" t="inlineStr">
        <is>
          <t>France</t>
        </is>
      </c>
      <c r="P24" s="57" t="inlineStr">
        <is>
          <t>Ipsen</t>
        </is>
      </c>
      <c r="Q24" s="57" t="inlineStr">
        <is>
          <t>Oui</t>
        </is>
      </c>
      <c r="R24" s="57" t="inlineStr">
        <is>
          <t>IPN.PA</t>
        </is>
      </c>
      <c r="S24" s="57" t="inlineStr">
        <is>
          <t>U006</t>
        </is>
      </c>
      <c r="T24" s="57">
        <f>IFERROR(INDEX(Commerciaux!$D$2:$D$3000,MATCH(S24,Commerciaux!$A$2:$A$3000,0)),"")</f>
        <v/>
      </c>
      <c r="U24" s="57" t="inlineStr">
        <is>
          <t>Client</t>
        </is>
      </c>
      <c r="V24" s="57" t="inlineStr">
        <is>
          <t>Actif</t>
        </is>
      </c>
      <c r="W24" s="58" t="n">
        <v>43899</v>
      </c>
      <c r="X24" s="58" t="n">
        <v>44116</v>
      </c>
      <c r="Y24" s="57" t="inlineStr">
        <is>
          <t>Recommandation</t>
        </is>
      </c>
      <c r="Z24" s="59" t="n">
        <v>380000</v>
      </c>
      <c r="AA24" s="59">
        <f>SUMIFS(Commandes!$K$2:$K$3000,Commandes!$D$2:$D$3000,A24,Commandes!$C$2:$C$3000,"&gt;"&amp;(DateExport-365),Commandes!$C$2:$C$3000,"&lt;="&amp;DateExport)</f>
        <v/>
      </c>
      <c r="AB24" s="60">
        <f>COUNTIFS(Transactions!$C$2:$C$3000,A24,Transactions!$N$2:$N$3000,"Ouverte")</f>
        <v/>
      </c>
      <c r="AC24" s="59">
        <f>SUMIFS(Transactions!$L$2:$L$3000,Transactions!$C$2:$C$3000,A24,Transactions!$N$2:$N$3000,"Ouverte")</f>
        <v/>
      </c>
      <c r="AD24" s="60">
        <f>COUNTIFS(Tickets!$C$2:$C$3000,A24,Tickets!$I$2:$I$3000,"&lt;&gt;Fermé")</f>
        <v/>
      </c>
      <c r="AE24" s="58">
        <f>IF(COUNTIFS(Activités!$D$2:$D$3000,A24,Activités!$B$2:$B$3000,"&lt;="&amp;DateExport)=0,"",_xlfn.MAXIFS(Activités!$B$2:$B$3000,Activités!$D$2:$D$3000,A24,Activités!$B$2:$B$3000,"&lt;="&amp;DateExport))</f>
        <v/>
      </c>
      <c r="AF24" s="58">
        <f>IF(COUNTIFS('Rendez-vous'!$F$2:$F$3000,A24,'Rendez-vous'!$B$2:$B$3000,"&gt;="&amp;DateExport)=0,"",_xlfn.MINIFS('Rendez-vous'!$B$2:$B$3000,'Rendez-vous'!$F$2:$F$3000,A24,'Rendez-vous'!$B$2:$B$3000,"&gt;="&amp;DateExport))</f>
        <v/>
      </c>
      <c r="AG24" s="57" t="inlineStr">
        <is>
          <t>Kartéa Pharma Pack</t>
        </is>
      </c>
      <c r="AH24" s="57" t="inlineStr">
        <is>
          <t>60 jours</t>
        </is>
      </c>
      <c r="AI24" s="40" t="inlineStr">
        <is>
          <t>Client sur les étuis et étiquettes de médicaments de spécialité.</t>
        </is>
      </c>
      <c r="AJ24" s="40" t="inlineStr">
        <is>
          <t>Généralisation des étiquettes d'inviolabilité sur toute la gamme ; clause de révision annuelle des prix demandée.</t>
        </is>
      </c>
    </row>
    <row r="25" ht="23.85" customHeight="1" s="34">
      <c r="A25" s="57" t="inlineStr">
        <is>
          <t>E024</t>
        </is>
      </c>
      <c r="B25" s="57" t="inlineStr">
        <is>
          <t>Servier</t>
        </is>
      </c>
      <c r="C25" s="57" t="inlineStr">
        <is>
          <t>servier.com</t>
        </is>
      </c>
      <c r="D25" s="61" t="inlineStr">
        <is>
          <t>https://www.servier.com</t>
        </is>
      </c>
      <c r="E25" s="40" t="inlineStr">
        <is>
          <t>Groupe pharmaceutique indépendant gouverné par une fondation, spécialisé notamment en oncologie et cardiologie.</t>
        </is>
      </c>
      <c r="F25" s="57" t="inlineStr">
        <is>
          <t>Pharmaceutique et santé</t>
        </is>
      </c>
      <c r="G25" s="57" t="inlineStr">
        <is>
          <t>Médicaments de prescription</t>
        </is>
      </c>
      <c r="H25" s="57" t="inlineStr">
        <is>
          <t>Grand compte</t>
        </is>
      </c>
      <c r="I25" s="57" t="inlineStr">
        <is>
          <t>10 000 et plus</t>
        </is>
      </c>
      <c r="J25" s="57" t="inlineStr">
        <is>
          <t>1 - 10 Md€</t>
        </is>
      </c>
      <c r="K25" s="57" t="inlineStr">
        <is>
          <t>50 rue Carnot</t>
        </is>
      </c>
      <c r="L25" s="57" t="inlineStr">
        <is>
          <t>92150</t>
        </is>
      </c>
      <c r="M25" s="57" t="inlineStr">
        <is>
          <t>Suresnes</t>
        </is>
      </c>
      <c r="N25" s="57" t="inlineStr">
        <is>
          <t>Île-de-France</t>
        </is>
      </c>
      <c r="O25" s="57" t="inlineStr">
        <is>
          <t>France</t>
        </is>
      </c>
      <c r="P25" s="57" t="inlineStr">
        <is>
          <t>Groupe Servier</t>
        </is>
      </c>
      <c r="Q25" s="57" t="inlineStr">
        <is>
          <t>Non</t>
        </is>
      </c>
      <c r="R25" s="57" t="n"/>
      <c r="S25" s="57" t="inlineStr">
        <is>
          <t>U006</t>
        </is>
      </c>
      <c r="T25" s="57">
        <f>IFERROR(INDEX(Commerciaux!$D$2:$D$3000,MATCH(S25,Commerciaux!$A$2:$A$3000,0)),"")</f>
        <v/>
      </c>
      <c r="U25" s="57" t="inlineStr">
        <is>
          <t>Opportunité</t>
        </is>
      </c>
      <c r="V25" s="57" t="inlineStr">
        <is>
          <t>En développement</t>
        </is>
      </c>
      <c r="W25" s="58" t="n">
        <v>45944</v>
      </c>
      <c r="X25" s="58" t="n"/>
      <c r="Y25" s="57" t="inlineStr">
        <is>
          <t>Événement / webinaire</t>
        </is>
      </c>
      <c r="Z25" s="59" t="n">
        <v>500000</v>
      </c>
      <c r="AA25" s="59">
        <f>SUMIFS(Commandes!$K$2:$K$3000,Commandes!$D$2:$D$3000,A25,Commandes!$C$2:$C$3000,"&gt;"&amp;(DateExport-365),Commandes!$C$2:$C$3000,"&lt;="&amp;DateExport)</f>
        <v/>
      </c>
      <c r="AB25" s="60">
        <f>COUNTIFS(Transactions!$C$2:$C$3000,A25,Transactions!$N$2:$N$3000,"Ouverte")</f>
        <v/>
      </c>
      <c r="AC25" s="59">
        <f>SUMIFS(Transactions!$L$2:$L$3000,Transactions!$C$2:$C$3000,A25,Transactions!$N$2:$N$3000,"Ouverte")</f>
        <v/>
      </c>
      <c r="AD25" s="60">
        <f>COUNTIFS(Tickets!$C$2:$C$3000,A25,Tickets!$I$2:$I$3000,"&lt;&gt;Fermé")</f>
        <v/>
      </c>
      <c r="AE25" s="58">
        <f>IF(COUNTIFS(Activités!$D$2:$D$3000,A25,Activités!$B$2:$B$3000,"&lt;="&amp;DateExport)=0,"",_xlfn.MAXIFS(Activités!$B$2:$B$3000,Activités!$D$2:$D$3000,A25,Activités!$B$2:$B$3000,"&lt;="&amp;DateExport))</f>
        <v/>
      </c>
      <c r="AF25" s="58">
        <f>IF(COUNTIFS('Rendez-vous'!$F$2:$F$3000,A25,'Rendez-vous'!$B$2:$B$3000,"&gt;="&amp;DateExport)=0,"",_xlfn.MINIFS('Rendez-vous'!$B$2:$B$3000,'Rendez-vous'!$F$2:$F$3000,A25,'Rendez-vous'!$B$2:$B$3000,"&gt;="&amp;DateExport))</f>
        <v/>
      </c>
      <c r="AG25" s="57" t="inlineStr">
        <is>
          <t>Kartéa Pharma Pack</t>
        </is>
      </c>
      <c r="AH25" s="57" t="inlineStr">
        <is>
          <t>60 jours</t>
        </is>
      </c>
      <c r="AI25" s="40" t="inlineStr">
        <is>
          <t>Opportunité de référencement sur les notices et étuis d'un site de production.</t>
        </is>
      </c>
      <c r="AJ25" s="40" t="inlineStr">
        <is>
          <t>Appel d'offres en cours, trois fournisseurs retenus ; décision attendue au premier trimestre 2027.</t>
        </is>
      </c>
    </row>
    <row r="26" ht="23.85" customHeight="1" s="34">
      <c r="A26" s="57" t="inlineStr">
        <is>
          <t>E025</t>
        </is>
      </c>
      <c r="B26" s="57" t="inlineStr">
        <is>
          <t>Pernod Ricard</t>
        </is>
      </c>
      <c r="C26" s="57" t="inlineStr">
        <is>
          <t>pernod-ricard.com</t>
        </is>
      </c>
      <c r="D26" s="61" t="inlineStr">
        <is>
          <t>https://www.pernod-ricard.com</t>
        </is>
      </c>
      <c r="E26" s="40" t="inlineStr">
        <is>
          <t>Numéro deux mondial des vins et spiritueux (Absolut, Jameson, Ricard, Martell, Chivas Regal).</t>
        </is>
      </c>
      <c r="F26" s="57" t="inlineStr">
        <is>
          <t>Vins et spiritueux</t>
        </is>
      </c>
      <c r="G26" s="57" t="inlineStr">
        <is>
          <t>Spiritueux</t>
        </is>
      </c>
      <c r="H26" s="57" t="inlineStr">
        <is>
          <t>Grand compte</t>
        </is>
      </c>
      <c r="I26" s="57" t="inlineStr">
        <is>
          <t>10 000 et plus</t>
        </is>
      </c>
      <c r="J26" s="57" t="inlineStr">
        <is>
          <t>1 - 10 Md€</t>
        </is>
      </c>
      <c r="K26" s="57" t="inlineStr">
        <is>
          <t>5 cours Paul Ricard</t>
        </is>
      </c>
      <c r="L26" s="57" t="inlineStr">
        <is>
          <t>75008</t>
        </is>
      </c>
      <c r="M26" s="57" t="inlineStr">
        <is>
          <t>Paris</t>
        </is>
      </c>
      <c r="N26" s="57" t="inlineStr">
        <is>
          <t>Île-de-France</t>
        </is>
      </c>
      <c r="O26" s="57" t="inlineStr">
        <is>
          <t>France</t>
        </is>
      </c>
      <c r="P26" s="57" t="inlineStr">
        <is>
          <t>Groupe Pernod Ricard</t>
        </is>
      </c>
      <c r="Q26" s="57" t="inlineStr">
        <is>
          <t>Oui</t>
        </is>
      </c>
      <c r="R26" s="57" t="inlineStr">
        <is>
          <t>RI.PA</t>
        </is>
      </c>
      <c r="S26" s="57" t="inlineStr">
        <is>
          <t>U007</t>
        </is>
      </c>
      <c r="T26" s="57">
        <f>IFERROR(INDEX(Commerciaux!$D$2:$D$3000,MATCH(S26,Commerciaux!$A$2:$A$3000,0)),"")</f>
        <v/>
      </c>
      <c r="U26" s="57" t="inlineStr">
        <is>
          <t>Client</t>
        </is>
      </c>
      <c r="V26" s="57" t="inlineStr">
        <is>
          <t>Actif</t>
        </is>
      </c>
      <c r="W26" s="58" t="n">
        <v>43479</v>
      </c>
      <c r="X26" s="58" t="n">
        <v>43647</v>
      </c>
      <c r="Y26" s="57" t="inlineStr">
        <is>
          <t>Salon professionnel</t>
        </is>
      </c>
      <c r="Z26" s="59" t="n">
        <v>950000</v>
      </c>
      <c r="AA26" s="59">
        <f>SUMIFS(Commandes!$K$2:$K$3000,Commandes!$D$2:$D$3000,A26,Commandes!$C$2:$C$3000,"&gt;"&amp;(DateExport-365),Commandes!$C$2:$C$3000,"&lt;="&amp;DateExport)</f>
        <v/>
      </c>
      <c r="AB26" s="60">
        <f>COUNTIFS(Transactions!$C$2:$C$3000,A26,Transactions!$N$2:$N$3000,"Ouverte")</f>
        <v/>
      </c>
      <c r="AC26" s="59">
        <f>SUMIFS(Transactions!$L$2:$L$3000,Transactions!$C$2:$C$3000,A26,Transactions!$N$2:$N$3000,"Ouverte")</f>
        <v/>
      </c>
      <c r="AD26" s="60">
        <f>COUNTIFS(Tickets!$C$2:$C$3000,A26,Tickets!$I$2:$I$3000,"&lt;&gt;Fermé")</f>
        <v/>
      </c>
      <c r="AE26" s="58">
        <f>IF(COUNTIFS(Activités!$D$2:$D$3000,A26,Activités!$B$2:$B$3000,"&lt;="&amp;DateExport)=0,"",_xlfn.MAXIFS(Activités!$B$2:$B$3000,Activités!$D$2:$D$3000,A26,Activités!$B$2:$B$3000,"&lt;="&amp;DateExport))</f>
        <v/>
      </c>
      <c r="AF26" s="58">
        <f>IF(COUNTIFS('Rendez-vous'!$F$2:$F$3000,A26,'Rendez-vous'!$B$2:$B$3000,"&gt;="&amp;DateExport)=0,"",_xlfn.MINIFS('Rendez-vous'!$B$2:$B$3000,'Rendez-vous'!$F$2:$F$3000,A26,'Rendez-vous'!$B$2:$B$3000,"&gt;="&amp;DateExport))</f>
        <v/>
      </c>
      <c r="AG26" s="57" t="inlineStr">
        <is>
          <t>Kartéa Luxe</t>
        </is>
      </c>
      <c r="AH26" s="57" t="inlineStr">
        <is>
          <t>60 jours</t>
        </is>
      </c>
      <c r="AI26" s="40" t="inlineStr">
        <is>
          <t>Grand compte sur les étuis et coffrets de plusieurs marques. Achats centralisés, déclinés par filiale.</t>
        </is>
      </c>
      <c r="AJ26" s="40" t="inlineStr">
        <is>
          <t>Programme d'éco-conception des coffrets ; révision du panel fournisseurs en 2027.</t>
        </is>
      </c>
    </row>
    <row r="27" ht="23.85" customHeight="1" s="34">
      <c r="A27" s="57" t="inlineStr">
        <is>
          <t>E026</t>
        </is>
      </c>
      <c r="B27" s="57" t="inlineStr">
        <is>
          <t>Danone</t>
        </is>
      </c>
      <c r="C27" s="57" t="inlineStr">
        <is>
          <t>danone.com</t>
        </is>
      </c>
      <c r="D27" s="61" t="inlineStr">
        <is>
          <t>https://www.danone.com</t>
        </is>
      </c>
      <c r="E27" s="40" t="inlineStr">
        <is>
          <t>Groupe alimentaire mondial (produits laitiers et d'origine végétale, nutrition spécialisée, eaux).</t>
        </is>
      </c>
      <c r="F27" s="57" t="inlineStr">
        <is>
          <t>Grande consommation</t>
        </is>
      </c>
      <c r="G27" s="57" t="inlineStr">
        <is>
          <t>Produits laitiers et nutrition</t>
        </is>
      </c>
      <c r="H27" s="57" t="inlineStr">
        <is>
          <t>Grand compte</t>
        </is>
      </c>
      <c r="I27" s="57" t="inlineStr">
        <is>
          <t>10 000 et plus</t>
        </is>
      </c>
      <c r="J27" s="57" t="inlineStr">
        <is>
          <t>Plus de 10 Md€</t>
        </is>
      </c>
      <c r="K27" s="57" t="inlineStr">
        <is>
          <t>17 boulevard Haussmann</t>
        </is>
      </c>
      <c r="L27" s="57" t="inlineStr">
        <is>
          <t>75009</t>
        </is>
      </c>
      <c r="M27" s="57" t="inlineStr">
        <is>
          <t>Paris</t>
        </is>
      </c>
      <c r="N27" s="57" t="inlineStr">
        <is>
          <t>Île-de-France</t>
        </is>
      </c>
      <c r="O27" s="57" t="inlineStr">
        <is>
          <t>France</t>
        </is>
      </c>
      <c r="P27" s="57" t="inlineStr">
        <is>
          <t>Groupe Danone</t>
        </is>
      </c>
      <c r="Q27" s="57" t="inlineStr">
        <is>
          <t>Oui</t>
        </is>
      </c>
      <c r="R27" s="57" t="inlineStr">
        <is>
          <t>BN.PA</t>
        </is>
      </c>
      <c r="S27" s="57" t="inlineStr">
        <is>
          <t>U007</t>
        </is>
      </c>
      <c r="T27" s="57">
        <f>IFERROR(INDEX(Commerciaux!$D$2:$D$3000,MATCH(S27,Commerciaux!$A$2:$A$3000,0)),"")</f>
        <v/>
      </c>
      <c r="U27" s="57" t="inlineStr">
        <is>
          <t>Client</t>
        </is>
      </c>
      <c r="V27" s="57" t="inlineStr">
        <is>
          <t>Actif</t>
        </is>
      </c>
      <c r="W27" s="58" t="n">
        <v>43717</v>
      </c>
      <c r="X27" s="58" t="n">
        <v>43878</v>
      </c>
      <c r="Y27" s="57" t="inlineStr">
        <is>
          <t>Prospection terrain</t>
        </is>
      </c>
      <c r="Z27" s="59" t="n">
        <v>880000</v>
      </c>
      <c r="AA27" s="59">
        <f>SUMIFS(Commandes!$K$2:$K$3000,Commandes!$D$2:$D$3000,A27,Commandes!$C$2:$C$3000,"&gt;"&amp;(DateExport-365),Commandes!$C$2:$C$3000,"&lt;="&amp;DateExport)</f>
        <v/>
      </c>
      <c r="AB27" s="60">
        <f>COUNTIFS(Transactions!$C$2:$C$3000,A27,Transactions!$N$2:$N$3000,"Ouverte")</f>
        <v/>
      </c>
      <c r="AC27" s="59">
        <f>SUMIFS(Transactions!$L$2:$L$3000,Transactions!$C$2:$C$3000,A27,Transactions!$N$2:$N$3000,"Ouverte")</f>
        <v/>
      </c>
      <c r="AD27" s="60">
        <f>COUNTIFS(Tickets!$C$2:$C$3000,A27,Tickets!$I$2:$I$3000,"&lt;&gt;Fermé")</f>
        <v/>
      </c>
      <c r="AE27" s="58">
        <f>IF(COUNTIFS(Activités!$D$2:$D$3000,A27,Activités!$B$2:$B$3000,"&lt;="&amp;DateExport)=0,"",_xlfn.MAXIFS(Activités!$B$2:$B$3000,Activités!$D$2:$D$3000,A27,Activités!$B$2:$B$3000,"&lt;="&amp;DateExport))</f>
        <v/>
      </c>
      <c r="AF27" s="58">
        <f>IF(COUNTIFS('Rendez-vous'!$F$2:$F$3000,A27,'Rendez-vous'!$B$2:$B$3000,"&gt;="&amp;DateExport)=0,"",_xlfn.MINIFS('Rendez-vous'!$B$2:$B$3000,'Rendez-vous'!$F$2:$F$3000,A27,'Rendez-vous'!$B$2:$B$3000,"&gt;="&amp;DateExport))</f>
        <v/>
      </c>
      <c r="AG27" s="57" t="inlineStr">
        <is>
          <t>Emballor Industries</t>
        </is>
      </c>
      <c r="AH27" s="57" t="inlineStr">
        <is>
          <t>60 jours</t>
        </is>
      </c>
      <c r="AI27" s="40" t="inlineStr">
        <is>
          <t>Grand compte sur les caisses carton et les étiquettes de plusieurs usines.</t>
        </is>
      </c>
      <c r="AJ27" s="40" t="inlineStr">
        <is>
          <t>Réduction des emballages secondaires ; essais de caisses en carton recyclé.</t>
        </is>
      </c>
    </row>
    <row r="28" ht="23.85" customHeight="1" s="34">
      <c r="A28" s="57" t="inlineStr">
        <is>
          <t>E027</t>
        </is>
      </c>
      <c r="B28" s="57" t="inlineStr">
        <is>
          <t>L'Oréal</t>
        </is>
      </c>
      <c r="C28" s="57" t="inlineStr">
        <is>
          <t>loreal.com</t>
        </is>
      </c>
      <c r="D28" s="61" t="inlineStr">
        <is>
          <t>https://www.loreal.com</t>
        </is>
      </c>
      <c r="E28" s="40" t="inlineStr">
        <is>
          <t>Numéro un mondial de la beauté (L'Oréal Paris, Lancôme, La Roche-Posay, Garnier).</t>
        </is>
      </c>
      <c r="F28" s="57" t="inlineStr">
        <is>
          <t>Grande consommation</t>
        </is>
      </c>
      <c r="G28" s="57" t="inlineStr">
        <is>
          <t>Cosmétiques</t>
        </is>
      </c>
      <c r="H28" s="57" t="inlineStr">
        <is>
          <t>Grand compte</t>
        </is>
      </c>
      <c r="I28" s="57" t="inlineStr">
        <is>
          <t>10 000 et plus</t>
        </is>
      </c>
      <c r="J28" s="57" t="inlineStr">
        <is>
          <t>Plus de 10 Md€</t>
        </is>
      </c>
      <c r="K28" s="57" t="inlineStr">
        <is>
          <t>41 rue Martre</t>
        </is>
      </c>
      <c r="L28" s="57" t="inlineStr">
        <is>
          <t>92110</t>
        </is>
      </c>
      <c r="M28" s="57" t="inlineStr">
        <is>
          <t>Clichy</t>
        </is>
      </c>
      <c r="N28" s="57" t="inlineStr">
        <is>
          <t>Île-de-France</t>
        </is>
      </c>
      <c r="O28" s="57" t="inlineStr">
        <is>
          <t>France</t>
        </is>
      </c>
      <c r="P28" s="57" t="inlineStr">
        <is>
          <t>Groupe L'Oréal</t>
        </is>
      </c>
      <c r="Q28" s="57" t="inlineStr">
        <is>
          <t>Oui</t>
        </is>
      </c>
      <c r="R28" s="57" t="inlineStr">
        <is>
          <t>OR.PA</t>
        </is>
      </c>
      <c r="S28" s="57" t="inlineStr">
        <is>
          <t>U007</t>
        </is>
      </c>
      <c r="T28" s="57">
        <f>IFERROR(INDEX(Commerciaux!$D$2:$D$3000,MATCH(S28,Commerciaux!$A$2:$A$3000,0)),"")</f>
        <v/>
      </c>
      <c r="U28" s="57" t="inlineStr">
        <is>
          <t>Client</t>
        </is>
      </c>
      <c r="V28" s="57" t="inlineStr">
        <is>
          <t>Actif</t>
        </is>
      </c>
      <c r="W28" s="58" t="n">
        <v>44151</v>
      </c>
      <c r="X28" s="58" t="n">
        <v>44292</v>
      </c>
      <c r="Y28" s="57" t="inlineStr">
        <is>
          <t>Recommandation</t>
        </is>
      </c>
      <c r="Z28" s="59" t="n">
        <v>1000000</v>
      </c>
      <c r="AA28" s="59">
        <f>SUMIFS(Commandes!$K$2:$K$3000,Commandes!$D$2:$D$3000,A28,Commandes!$C$2:$C$3000,"&gt;"&amp;(DateExport-365),Commandes!$C$2:$C$3000,"&lt;="&amp;DateExport)</f>
        <v/>
      </c>
      <c r="AB28" s="60">
        <f>COUNTIFS(Transactions!$C$2:$C$3000,A28,Transactions!$N$2:$N$3000,"Ouverte")</f>
        <v/>
      </c>
      <c r="AC28" s="59">
        <f>SUMIFS(Transactions!$L$2:$L$3000,Transactions!$C$2:$C$3000,A28,Transactions!$N$2:$N$3000,"Ouverte")</f>
        <v/>
      </c>
      <c r="AD28" s="60">
        <f>COUNTIFS(Tickets!$C$2:$C$3000,A28,Tickets!$I$2:$I$3000,"&lt;&gt;Fermé")</f>
        <v/>
      </c>
      <c r="AE28" s="58">
        <f>IF(COUNTIFS(Activités!$D$2:$D$3000,A28,Activités!$B$2:$B$3000,"&lt;="&amp;DateExport)=0,"",_xlfn.MAXIFS(Activités!$B$2:$B$3000,Activités!$D$2:$D$3000,A28,Activités!$B$2:$B$3000,"&lt;="&amp;DateExport))</f>
        <v/>
      </c>
      <c r="AF28" s="58">
        <f>IF(COUNTIFS('Rendez-vous'!$F$2:$F$3000,A28,'Rendez-vous'!$B$2:$B$3000,"&gt;="&amp;DateExport)=0,"",_xlfn.MINIFS('Rendez-vous'!$B$2:$B$3000,'Rendez-vous'!$F$2:$F$3000,A28,'Rendez-vous'!$B$2:$B$3000,"&gt;="&amp;DateExport))</f>
        <v/>
      </c>
      <c r="AG28" s="57" t="inlineStr">
        <is>
          <t>Cartonnages Vauclair</t>
        </is>
      </c>
      <c r="AH28" s="57" t="inlineStr">
        <is>
          <t>60 jours</t>
        </is>
      </c>
      <c r="AI28" s="40" t="inlineStr">
        <is>
          <t>Grand compte sur les coffrets de fêtes et les étuis éco-conçus.</t>
        </is>
      </c>
      <c r="AJ28" s="40" t="inlineStr">
        <is>
          <t>Coffrets de fêtes 2027 : réduction du poids, absence de plastique et maîtrise des coûts.</t>
        </is>
      </c>
    </row>
    <row r="29" ht="23.85" customHeight="1" s="34">
      <c r="A29" s="57" t="inlineStr">
        <is>
          <t>E028</t>
        </is>
      </c>
      <c r="B29" s="57" t="inlineStr">
        <is>
          <t>Savencia</t>
        </is>
      </c>
      <c r="C29" s="57" t="inlineStr">
        <is>
          <t>savencia-fromagedairy.com</t>
        </is>
      </c>
      <c r="D29" s="61" t="inlineStr">
        <is>
          <t>https://www.savencia-fromagedairy.com</t>
        </is>
      </c>
      <c r="E29" s="40" t="inlineStr">
        <is>
          <t>Groupe familial de produits laitiers et fromagers (Caprice des Dieux, Saint Agur, Elle &amp; Vire).</t>
        </is>
      </c>
      <c r="F29" s="57" t="inlineStr">
        <is>
          <t>Grande consommation</t>
        </is>
      </c>
      <c r="G29" s="57" t="inlineStr">
        <is>
          <t>Produits laitiers et fromages</t>
        </is>
      </c>
      <c r="H29" s="57" t="inlineStr">
        <is>
          <t>Grand compte</t>
        </is>
      </c>
      <c r="I29" s="57" t="inlineStr">
        <is>
          <t>10 000 et plus</t>
        </is>
      </c>
      <c r="J29" s="57" t="inlineStr">
        <is>
          <t>1 - 10 Md€</t>
        </is>
      </c>
      <c r="K29" s="57" t="inlineStr">
        <is>
          <t>42 rue Rieussec</t>
        </is>
      </c>
      <c r="L29" s="57" t="inlineStr">
        <is>
          <t>78220</t>
        </is>
      </c>
      <c r="M29" s="57" t="inlineStr">
        <is>
          <t>Viroflay</t>
        </is>
      </c>
      <c r="N29" s="57" t="inlineStr">
        <is>
          <t>Île-de-France</t>
        </is>
      </c>
      <c r="O29" s="57" t="inlineStr">
        <is>
          <t>France</t>
        </is>
      </c>
      <c r="P29" s="57" t="inlineStr">
        <is>
          <t>Savencia Fromage &amp; Dairy</t>
        </is>
      </c>
      <c r="Q29" s="57" t="inlineStr">
        <is>
          <t>Oui</t>
        </is>
      </c>
      <c r="R29" s="57" t="inlineStr">
        <is>
          <t>SAVE.PA</t>
        </is>
      </c>
      <c r="S29" s="57" t="inlineStr">
        <is>
          <t>U007</t>
        </is>
      </c>
      <c r="T29" s="57">
        <f>IFERROR(INDEX(Commerciaux!$D$2:$D$3000,MATCH(S29,Commerciaux!$A$2:$A$3000,0)),"")</f>
        <v/>
      </c>
      <c r="U29" s="57" t="inlineStr">
        <is>
          <t>Client</t>
        </is>
      </c>
      <c r="V29" s="57" t="inlineStr">
        <is>
          <t>Actif</t>
        </is>
      </c>
      <c r="W29" s="58" t="n">
        <v>44438</v>
      </c>
      <c r="X29" s="58" t="n">
        <v>44578</v>
      </c>
      <c r="Y29" s="57" t="inlineStr">
        <is>
          <t>Salon professionnel</t>
        </is>
      </c>
      <c r="Z29" s="59" t="n">
        <v>340000</v>
      </c>
      <c r="AA29" s="59">
        <f>SUMIFS(Commandes!$K$2:$K$3000,Commandes!$D$2:$D$3000,A29,Commandes!$C$2:$C$3000,"&gt;"&amp;(DateExport-365),Commandes!$C$2:$C$3000,"&lt;="&amp;DateExport)</f>
        <v/>
      </c>
      <c r="AB29" s="60">
        <f>COUNTIFS(Transactions!$C$2:$C$3000,A29,Transactions!$N$2:$N$3000,"Ouverte")</f>
        <v/>
      </c>
      <c r="AC29" s="59">
        <f>SUMIFS(Transactions!$L$2:$L$3000,Transactions!$C$2:$C$3000,A29,Transactions!$N$2:$N$3000,"Ouverte")</f>
        <v/>
      </c>
      <c r="AD29" s="60">
        <f>COUNTIFS(Tickets!$C$2:$C$3000,A29,Tickets!$I$2:$I$3000,"&lt;&gt;Fermé")</f>
        <v/>
      </c>
      <c r="AE29" s="58">
        <f>IF(COUNTIFS(Activités!$D$2:$D$3000,A29,Activités!$B$2:$B$3000,"&lt;="&amp;DateExport)=0,"",_xlfn.MAXIFS(Activités!$B$2:$B$3000,Activités!$D$2:$D$3000,A29,Activités!$B$2:$B$3000,"&lt;="&amp;DateExport))</f>
        <v/>
      </c>
      <c r="AF29" s="58">
        <f>IF(COUNTIFS('Rendez-vous'!$F$2:$F$3000,A29,'Rendez-vous'!$B$2:$B$3000,"&gt;="&amp;DateExport)=0,"",_xlfn.MINIFS('Rendez-vous'!$B$2:$B$3000,'Rendez-vous'!$F$2:$F$3000,A29,'Rendez-vous'!$B$2:$B$3000,"&gt;="&amp;DateExport))</f>
        <v/>
      </c>
      <c r="AG29" s="57" t="inlineStr">
        <is>
          <t>Emballor Industries</t>
        </is>
      </c>
      <c r="AH29" s="57" t="inlineStr">
        <is>
          <t>60 jours</t>
        </is>
      </c>
      <c r="AI29" s="40" t="inlineStr">
        <is>
          <t>Client sur les étiquettes et caisses carton de plusieurs marques fromagères.</t>
        </is>
      </c>
      <c r="AJ29" s="40" t="inlineStr">
        <is>
          <t>Étiquettes multilingues pour une gamme export ; optimisation des caisses.</t>
        </is>
      </c>
    </row>
    <row r="30" ht="23.85" customHeight="1" s="34">
      <c r="A30" s="57" t="inlineStr">
        <is>
          <t>E029</t>
        </is>
      </c>
      <c r="B30" s="57" t="inlineStr">
        <is>
          <t>Saint-Gobain</t>
        </is>
      </c>
      <c r="C30" s="57" t="inlineStr">
        <is>
          <t>saint-gobain.com</t>
        </is>
      </c>
      <c r="D30" s="61" t="inlineStr">
        <is>
          <t>https://www.saint-gobain.com</t>
        </is>
      </c>
      <c r="E30" s="40" t="inlineStr">
        <is>
          <t>Leader mondial des matériaux de construction légère et durable.</t>
        </is>
      </c>
      <c r="F30" s="57" t="inlineStr">
        <is>
          <t>Équipements et matériaux</t>
        </is>
      </c>
      <c r="G30" s="57" t="inlineStr">
        <is>
          <t>Matériaux de construction</t>
        </is>
      </c>
      <c r="H30" s="57" t="inlineStr">
        <is>
          <t>Grand compte</t>
        </is>
      </c>
      <c r="I30" s="57" t="inlineStr">
        <is>
          <t>10 000 et plus</t>
        </is>
      </c>
      <c r="J30" s="57" t="inlineStr">
        <is>
          <t>Plus de 10 Md€</t>
        </is>
      </c>
      <c r="K30" s="57" t="inlineStr">
        <is>
          <t>Tour Saint-Gobain, 12 place de l'Iris</t>
        </is>
      </c>
      <c r="L30" s="57" t="inlineStr">
        <is>
          <t>92400</t>
        </is>
      </c>
      <c r="M30" s="57" t="inlineStr">
        <is>
          <t>Courbevoie</t>
        </is>
      </c>
      <c r="N30" s="57" t="inlineStr">
        <is>
          <t>Île-de-France</t>
        </is>
      </c>
      <c r="O30" s="57" t="inlineStr">
        <is>
          <t>France</t>
        </is>
      </c>
      <c r="P30" s="57" t="inlineStr">
        <is>
          <t>Groupe Saint-Gobain</t>
        </is>
      </c>
      <c r="Q30" s="57" t="inlineStr">
        <is>
          <t>Oui</t>
        </is>
      </c>
      <c r="R30" s="57" t="inlineStr">
        <is>
          <t>SGO.PA</t>
        </is>
      </c>
      <c r="S30" s="57" t="inlineStr">
        <is>
          <t>U007</t>
        </is>
      </c>
      <c r="T30" s="57">
        <f>IFERROR(INDEX(Commerciaux!$D$2:$D$3000,MATCH(S30,Commerciaux!$A$2:$A$3000,0)),"")</f>
        <v/>
      </c>
      <c r="U30" s="57" t="inlineStr">
        <is>
          <t>Prospect</t>
        </is>
      </c>
      <c r="V30" s="57" t="inlineStr">
        <is>
          <t>Nouveau</t>
        </is>
      </c>
      <c r="W30" s="58" t="n">
        <v>46209</v>
      </c>
      <c r="X30" s="58" t="n"/>
      <c r="Y30" s="57" t="inlineStr">
        <is>
          <t>Recommandation</t>
        </is>
      </c>
      <c r="Z30" s="59" t="n">
        <v>600000</v>
      </c>
      <c r="AA30" s="59">
        <f>SUMIFS(Commandes!$K$2:$K$3000,Commandes!$D$2:$D$3000,A30,Commandes!$C$2:$C$3000,"&gt;"&amp;(DateExport-365),Commandes!$C$2:$C$3000,"&lt;="&amp;DateExport)</f>
        <v/>
      </c>
      <c r="AB30" s="60">
        <f>COUNTIFS(Transactions!$C$2:$C$3000,A30,Transactions!$N$2:$N$3000,"Ouverte")</f>
        <v/>
      </c>
      <c r="AC30" s="59">
        <f>SUMIFS(Transactions!$L$2:$L$3000,Transactions!$C$2:$C$3000,A30,Transactions!$N$2:$N$3000,"Ouverte")</f>
        <v/>
      </c>
      <c r="AD30" s="60">
        <f>COUNTIFS(Tickets!$C$2:$C$3000,A30,Tickets!$I$2:$I$3000,"&lt;&gt;Fermé")</f>
        <v/>
      </c>
      <c r="AE30" s="58">
        <f>IF(COUNTIFS(Activités!$D$2:$D$3000,A30,Activités!$B$2:$B$3000,"&lt;="&amp;DateExport)=0,"",_xlfn.MAXIFS(Activités!$B$2:$B$3000,Activités!$D$2:$D$3000,A30,Activités!$B$2:$B$3000,"&lt;="&amp;DateExport))</f>
        <v/>
      </c>
      <c r="AF30" s="58">
        <f>IF(COUNTIFS('Rendez-vous'!$F$2:$F$3000,A30,'Rendez-vous'!$B$2:$B$3000,"&gt;="&amp;DateExport)=0,"",_xlfn.MINIFS('Rendez-vous'!$B$2:$B$3000,'Rendez-vous'!$F$2:$F$3000,A30,'Rendez-vous'!$B$2:$B$3000,"&gt;="&amp;DateExport))</f>
        <v/>
      </c>
      <c r="AG30" s="57" t="n"/>
      <c r="AH30" s="57" t="inlineStr">
        <is>
          <t>60 jours</t>
        </is>
      </c>
      <c r="AI30" s="40" t="inlineStr">
        <is>
          <t>Prospect introduit par un contact chez un client. Besoin potentiel d'emballages de transport pour une activité de distribution.</t>
        </is>
      </c>
      <c r="AJ30" s="40" t="inlineStr">
        <is>
          <t>Comprendre l'organisation achats et le périmètre du besoin.</t>
        </is>
      </c>
    </row>
    <row r="31" ht="23.85" customHeight="1" s="34">
      <c r="A31" s="57" t="inlineStr">
        <is>
          <t>E030</t>
        </is>
      </c>
      <c r="B31" s="57" t="inlineStr">
        <is>
          <t>Schneider Electric</t>
        </is>
      </c>
      <c r="C31" s="57" t="inlineStr">
        <is>
          <t>se.com</t>
        </is>
      </c>
      <c r="D31" s="61" t="inlineStr">
        <is>
          <t>https://www.se.com</t>
        </is>
      </c>
      <c r="E31" s="40" t="inlineStr">
        <is>
          <t>Spécialiste mondial de la gestion de l'énergie et des automatismes industriels.</t>
        </is>
      </c>
      <c r="F31" s="57" t="inlineStr">
        <is>
          <t>Équipements et matériaux</t>
        </is>
      </c>
      <c r="G31" s="57" t="inlineStr">
        <is>
          <t>Matériel électrique et automatismes</t>
        </is>
      </c>
      <c r="H31" s="57" t="inlineStr">
        <is>
          <t>Grand compte</t>
        </is>
      </c>
      <c r="I31" s="57" t="inlineStr">
        <is>
          <t>10 000 et plus</t>
        </is>
      </c>
      <c r="J31" s="57" t="inlineStr">
        <is>
          <t>Plus de 10 Md€</t>
        </is>
      </c>
      <c r="K31" s="57" t="inlineStr">
        <is>
          <t>35 rue Joseph Monier</t>
        </is>
      </c>
      <c r="L31" s="57" t="inlineStr">
        <is>
          <t>92500</t>
        </is>
      </c>
      <c r="M31" s="57" t="inlineStr">
        <is>
          <t>Rueil-Malmaison</t>
        </is>
      </c>
      <c r="N31" s="57" t="inlineStr">
        <is>
          <t>Île-de-France</t>
        </is>
      </c>
      <c r="O31" s="57" t="inlineStr">
        <is>
          <t>France</t>
        </is>
      </c>
      <c r="P31" s="57" t="inlineStr">
        <is>
          <t>Schneider Electric</t>
        </is>
      </c>
      <c r="Q31" s="57" t="inlineStr">
        <is>
          <t>Oui</t>
        </is>
      </c>
      <c r="R31" s="57" t="inlineStr">
        <is>
          <t>SU.PA</t>
        </is>
      </c>
      <c r="S31" s="57" t="inlineStr">
        <is>
          <t>U007</t>
        </is>
      </c>
      <c r="T31" s="57">
        <f>IFERROR(INDEX(Commerciaux!$D$2:$D$3000,MATCH(S31,Commerciaux!$A$2:$A$3000,0)),"")</f>
        <v/>
      </c>
      <c r="U31" s="57" t="inlineStr">
        <is>
          <t>Client</t>
        </is>
      </c>
      <c r="V31" s="57" t="inlineStr">
        <is>
          <t>Actif</t>
        </is>
      </c>
      <c r="W31" s="58" t="n">
        <v>44606</v>
      </c>
      <c r="X31" s="58" t="n">
        <v>44746</v>
      </c>
      <c r="Y31" s="57" t="inlineStr">
        <is>
          <t>Recommandation</t>
        </is>
      </c>
      <c r="Z31" s="59" t="n">
        <v>560000</v>
      </c>
      <c r="AA31" s="59">
        <f>SUMIFS(Commandes!$K$2:$K$3000,Commandes!$D$2:$D$3000,A31,Commandes!$C$2:$C$3000,"&gt;"&amp;(DateExport-365),Commandes!$C$2:$C$3000,"&lt;="&amp;DateExport)</f>
        <v/>
      </c>
      <c r="AB31" s="60">
        <f>COUNTIFS(Transactions!$C$2:$C$3000,A31,Transactions!$N$2:$N$3000,"Ouverte")</f>
        <v/>
      </c>
      <c r="AC31" s="59">
        <f>SUMIFS(Transactions!$L$2:$L$3000,Transactions!$C$2:$C$3000,A31,Transactions!$N$2:$N$3000,"Ouverte")</f>
        <v/>
      </c>
      <c r="AD31" s="60">
        <f>COUNTIFS(Tickets!$C$2:$C$3000,A31,Tickets!$I$2:$I$3000,"&lt;&gt;Fermé")</f>
        <v/>
      </c>
      <c r="AE31" s="58">
        <f>IF(COUNTIFS(Activités!$D$2:$D$3000,A31,Activités!$B$2:$B$3000,"&lt;="&amp;DateExport)=0,"",_xlfn.MAXIFS(Activités!$B$2:$B$3000,Activités!$D$2:$D$3000,A31,Activités!$B$2:$B$3000,"&lt;="&amp;DateExport))</f>
        <v/>
      </c>
      <c r="AF31" s="58">
        <f>IF(COUNTIFS('Rendez-vous'!$F$2:$F$3000,A31,'Rendez-vous'!$B$2:$B$3000,"&gt;="&amp;DateExport)=0,"",_xlfn.MINIFS('Rendez-vous'!$B$2:$B$3000,'Rendez-vous'!$F$2:$F$3000,A31,'Rendez-vous'!$B$2:$B$3000,"&gt;="&amp;DateExport))</f>
        <v/>
      </c>
      <c r="AG31" s="57" t="inlineStr">
        <is>
          <t>Emballor Industries</t>
        </is>
      </c>
      <c r="AH31" s="57" t="inlineStr">
        <is>
          <t>60 jours</t>
        </is>
      </c>
      <c r="AI31" s="40" t="inlineStr">
        <is>
          <t>Client sur les caisses carton et les emballages de produits de distribution électrique.</t>
        </is>
      </c>
      <c r="AJ31" s="40" t="inlineStr">
        <is>
          <t>Emballages sans plastique pour la distribution électrique ; deux fournisseurs en lice.</t>
        </is>
      </c>
    </row>
  </sheetData>
  <dataValidations count="8">
    <dataValidation sqref="F2:F231" showDropDown="0" showInputMessage="0" showErrorMessage="1" allowBlank="1" errorTitle="Valeur non autorisée" error="Choisissez une valeur dans la liste." type="list" errorStyle="stop" operator="between">
      <formula1>Paramètres!$E$7:$E$10</formula1>
      <formula2>0</formula2>
    </dataValidation>
    <dataValidation sqref="H2:H231" showDropDown="0" showInputMessage="0" showErrorMessage="1" allowBlank="1" errorTitle="Valeur non autorisée" error="Choisissez une valeur dans la liste." type="list" errorStyle="stop" operator="between">
      <formula1>Paramètres!$F$7:$F$9</formula1>
      <formula2>0</formula2>
    </dataValidation>
    <dataValidation sqref="I2:I231" showDropDown="0" showInputMessage="0" showErrorMessage="1" allowBlank="1" errorTitle="Valeur non autorisée" error="Choisissez une valeur dans la liste." type="list" errorStyle="stop" operator="between">
      <formula1>Paramètres!$X$7:$X$12</formula1>
      <formula2>0</formula2>
    </dataValidation>
    <dataValidation sqref="J2:J231" showDropDown="0" showInputMessage="0" showErrorMessage="1" allowBlank="1" errorTitle="Valeur non autorisée" error="Choisissez une valeur dans la liste." type="list" errorStyle="stop" operator="between">
      <formula1>Paramètres!$Z$7:$Z$13</formula1>
      <formula2>0</formula2>
    </dataValidation>
    <dataValidation sqref="U2:U231" showDropDown="0" showInputMessage="0" showErrorMessage="1" allowBlank="1" errorTitle="Valeur non autorisée" error="Choisissez une valeur dans la liste." type="list" errorStyle="stop" operator="between">
      <formula1>Paramètres!$G$7:$G$10</formula1>
      <formula2>0</formula2>
    </dataValidation>
    <dataValidation sqref="V2:V231" showDropDown="0" showInputMessage="0" showErrorMessage="1" allowBlank="1" errorTitle="Valeur non autorisée" error="Choisissez une valeur dans la liste." type="list" errorStyle="stop" operator="between">
      <formula1>Paramètres!$H$7:$H$11</formula1>
      <formula2>0</formula2>
    </dataValidation>
    <dataValidation sqref="Y2:Y231" showDropDown="0" showInputMessage="0" showErrorMessage="1" allowBlank="1" errorTitle="Valeur non autorisée" error="Choisissez une valeur dans la liste." type="list" errorStyle="stop" operator="between">
      <formula1>Paramètres!$T$7:$T$12</formula1>
      <formula2>0</formula2>
    </dataValidation>
    <dataValidation sqref="S2:S231" showDropDown="0" showInputMessage="0" showErrorMessage="1" allowBlank="1" errorTitle="Valeur non autorisée" error="Choisissez une valeur dans la liste." type="list" errorStyle="stop" operator="between">
      <formula1>Commerciaux!$A$2:$A$3000</formula1>
      <formula2>0</formula2>
    </dataValidation>
  </dataValidations>
  <hyperlinks>
    <hyperlink xmlns:r="http://schemas.openxmlformats.org/officeDocument/2006/relationships" ref="D2" display="https://www.bonduelle.com" r:id="rId1"/>
    <hyperlink xmlns:r="http://schemas.openxmlformats.org/officeDocument/2006/relationships" ref="D3" display="https://www.lesaffre.com" r:id="rId2"/>
    <hyperlink xmlns:r="http://schemas.openxmlformats.org/officeDocument/2006/relationships" ref="D4" display="https://www.guerbet.com" r:id="rId3"/>
    <hyperlink xmlns:r="http://schemas.openxmlformats.org/officeDocument/2006/relationships" ref="D5" display="https://www.interparfums.fr" r:id="rId4"/>
    <hyperlink xmlns:r="http://schemas.openxmlformats.org/officeDocument/2006/relationships" ref="D6" display="https://www.clarins.com" r:id="rId5"/>
    <hyperlink xmlns:r="http://schemas.openxmlformats.org/officeDocument/2006/relationships" ref="D7" display="https://www.imerys.com" r:id="rId6"/>
    <hyperlink xmlns:r="http://schemas.openxmlformats.org/officeDocument/2006/relationships" ref="D8" display="https://www.nexans.com" r:id="rId7"/>
    <hyperlink xmlns:r="http://schemas.openxmlformats.org/officeDocument/2006/relationships" ref="D9" display="https://www.moet.com" r:id="rId8"/>
    <hyperlink xmlns:r="http://schemas.openxmlformats.org/officeDocument/2006/relationships" ref="D10" display="https://www.laurent-perrier.com" r:id="rId9"/>
    <hyperlink xmlns:r="http://schemas.openxmlformats.org/officeDocument/2006/relationships" ref="D11" display="https://www.vrankenpommery.com" r:id="rId10"/>
    <hyperlink xmlns:r="http://schemas.openxmlformats.org/officeDocument/2006/relationships" ref="D12" display="https://www.kronenbourg.com" r:id="rId11"/>
    <hyperlink xmlns:r="http://schemas.openxmlformats.org/officeDocument/2006/relationships" ref="D13" display="https://www.biomerieux.com" r:id="rId12"/>
    <hyperlink xmlns:r="http://schemas.openxmlformats.org/officeDocument/2006/relationships" ref="D14" display="https://www.boiron.com" r:id="rId13"/>
    <hyperlink xmlns:r="http://schemas.openxmlformats.org/officeDocument/2006/relationships" ref="D15" display="https://www.groupeseb.com" r:id="rId14"/>
    <hyperlink xmlns:r="http://schemas.openxmlformats.org/officeDocument/2006/relationships" ref="D16" display="https://www.vicat.com" r:id="rId15"/>
    <hyperlink xmlns:r="http://schemas.openxmlformats.org/officeDocument/2006/relationships" ref="D17" display="https://www.virbac.com" r:id="rId16"/>
    <hyperlink xmlns:r="http://schemas.openxmlformats.org/officeDocument/2006/relationships" ref="D18" display="https://www.remy-cointreau.com" r:id="rId17"/>
    <hyperlink xmlns:r="http://schemas.openxmlformats.org/officeDocument/2006/relationships" ref="D19" display="https://www.maisonferrand.com" r:id="rId18"/>
    <hyperlink xmlns:r="http://schemas.openxmlformats.org/officeDocument/2006/relationships" ref="D20" display="https://www.pierre-fabre.com" r:id="rId19"/>
    <hyperlink xmlns:r="http://schemas.openxmlformats.org/officeDocument/2006/relationships" ref="D21" display="https://www.andros.fr" r:id="rId20"/>
    <hyperlink xmlns:r="http://schemas.openxmlformats.org/officeDocument/2006/relationships" ref="D22" display="https://www.volterra.example" r:id="rId21"/>
    <hyperlink xmlns:r="http://schemas.openxmlformats.org/officeDocument/2006/relationships" ref="D23" display="https://www.sanofi.com" r:id="rId22"/>
    <hyperlink xmlns:r="http://schemas.openxmlformats.org/officeDocument/2006/relationships" ref="D24" display="https://www.ipsen.com" r:id="rId23"/>
    <hyperlink xmlns:r="http://schemas.openxmlformats.org/officeDocument/2006/relationships" ref="D25" display="https://www.servier.com" r:id="rId24"/>
    <hyperlink xmlns:r="http://schemas.openxmlformats.org/officeDocument/2006/relationships" ref="D26" display="https://www.pernod-ricard.com" r:id="rId25"/>
    <hyperlink xmlns:r="http://schemas.openxmlformats.org/officeDocument/2006/relationships" ref="D27" display="https://www.danone.com" r:id="rId26"/>
    <hyperlink xmlns:r="http://schemas.openxmlformats.org/officeDocument/2006/relationships" ref="D28" display="https://www.loreal.com" r:id="rId27"/>
    <hyperlink xmlns:r="http://schemas.openxmlformats.org/officeDocument/2006/relationships" ref="D29" display="https://www.savencia-fromagedairy.com" r:id="rId28"/>
    <hyperlink xmlns:r="http://schemas.openxmlformats.org/officeDocument/2006/relationships" ref="D30" display="https://www.saint-gobain.com" r:id="rId29"/>
    <hyperlink xmlns:r="http://schemas.openxmlformats.org/officeDocument/2006/relationships" ref="D31" display="https://www.se.com" r:id="rId3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31"/>
  </tableParts>
</worksheet>
</file>

<file path=xl/worksheets/sheet6.xml><?xml version="1.0" encoding="utf-8"?>
<worksheet xmlns="http://schemas.openxmlformats.org/spreadsheetml/2006/main">
  <sheetPr filterMode="0">
    <outlinePr summaryBelow="1" summaryRight="1"/>
    <pageSetUpPr fitToPage="0"/>
  </sheetPr>
  <dimension ref="A1:Z5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1" customWidth="1" style="33" min="1" max="1"/>
    <col width="9" customWidth="1" style="33" min="2" max="2"/>
    <col width="13" customWidth="1" style="33" min="3" max="3"/>
    <col width="15" customWidth="1" style="33" min="4" max="4"/>
    <col width="22" customWidth="1" style="33" min="5" max="5"/>
    <col width="38" customWidth="1" style="33" min="6" max="6"/>
    <col width="17" customWidth="1" style="33" min="7" max="8"/>
    <col width="34" customWidth="1" style="33" min="9" max="9"/>
    <col width="20" customWidth="1" style="33" min="10" max="10"/>
    <col width="14" customWidth="1" style="33" min="11" max="11"/>
    <col width="10" customWidth="1" style="33" min="12" max="12"/>
    <col width="12" customWidth="1" style="33" min="13" max="13"/>
    <col width="20" customWidth="1" style="33" min="14" max="14"/>
    <col width="12" customWidth="1" style="33" min="15" max="15"/>
    <col width="18" customWidth="1" style="33" min="16" max="16"/>
    <col width="14" customWidth="1" style="33" min="17" max="17"/>
    <col width="16" customWidth="1" style="33" min="18" max="18"/>
    <col width="20" customWidth="1" style="33" min="19" max="19"/>
    <col width="12" customWidth="1" style="33" min="20" max="20"/>
    <col width="10" customWidth="1" style="33" min="21" max="21"/>
    <col width="13" customWidth="1" style="33" min="22" max="22"/>
    <col width="14" customWidth="1" style="33" min="23" max="25"/>
    <col width="60" customWidth="1" style="33" min="26" max="26"/>
  </cols>
  <sheetData>
    <row r="1" ht="31.5" customHeight="1" s="34">
      <c r="A1" s="55" t="inlineStr">
        <is>
          <t>ID contact</t>
        </is>
      </c>
      <c r="B1" s="55" t="inlineStr">
        <is>
          <t>Civilité</t>
        </is>
      </c>
      <c r="C1" s="55" t="inlineStr">
        <is>
          <t>Prénom</t>
        </is>
      </c>
      <c r="D1" s="55" t="inlineStr">
        <is>
          <t>Nom</t>
        </is>
      </c>
      <c r="E1" s="56" t="inlineStr">
        <is>
          <t>Nom complet</t>
        </is>
      </c>
      <c r="F1" s="55" t="inlineStr">
        <is>
          <t>E-mail</t>
        </is>
      </c>
      <c r="G1" s="55" t="inlineStr">
        <is>
          <t>Téléphone fixe</t>
        </is>
      </c>
      <c r="H1" s="55" t="inlineStr">
        <is>
          <t>Téléphone mobile</t>
        </is>
      </c>
      <c r="I1" s="55" t="inlineStr">
        <is>
          <t>Intitulé du poste</t>
        </is>
      </c>
      <c r="J1" s="55" t="inlineStr">
        <is>
          <t>Service</t>
        </is>
      </c>
      <c r="K1" s="55" t="inlineStr">
        <is>
          <t>Niveau de décision</t>
        </is>
      </c>
      <c r="L1" s="55" t="inlineStr">
        <is>
          <t>Contact clé</t>
        </is>
      </c>
      <c r="M1" s="55" t="inlineStr">
        <is>
          <t>ID entreprise</t>
        </is>
      </c>
      <c r="N1" s="56" t="inlineStr">
        <is>
          <t>Entreprise</t>
        </is>
      </c>
      <c r="O1" s="55" t="inlineStr">
        <is>
          <t>ID propriétaire</t>
        </is>
      </c>
      <c r="P1" s="56" t="inlineStr">
        <is>
          <t>Propriétaire du contact</t>
        </is>
      </c>
      <c r="Q1" s="55" t="inlineStr">
        <is>
          <t>Phase du cycle de vie</t>
        </is>
      </c>
      <c r="R1" s="55" t="inlineStr">
        <is>
          <t>Statut du lead</t>
        </is>
      </c>
      <c r="S1" s="55" t="inlineStr">
        <is>
          <t>Source d'origine</t>
        </is>
      </c>
      <c r="T1" s="55" t="inlineStr">
        <is>
          <t>Canal préféré</t>
        </is>
      </c>
      <c r="U1" s="55" t="inlineStr">
        <is>
          <t>Langue</t>
        </is>
      </c>
      <c r="V1" s="55" t="inlineStr">
        <is>
          <t>Date de création</t>
        </is>
      </c>
      <c r="W1" s="56" t="inlineStr">
        <is>
          <t>Date du dernier contact</t>
        </is>
      </c>
      <c r="X1" s="56" t="inlineStr">
        <is>
          <t>Interactions 12 derniers mois</t>
        </is>
      </c>
      <c r="Y1" s="55" t="inlineStr">
        <is>
          <t>Consentement e-mail marketing</t>
        </is>
      </c>
      <c r="Z1" s="55" t="inlineStr">
        <is>
          <t>Notes</t>
        </is>
      </c>
    </row>
    <row r="2" ht="23.85" customHeight="1" s="34">
      <c r="A2" s="57" t="inlineStr">
        <is>
          <t>C001</t>
        </is>
      </c>
      <c r="B2" s="57" t="inlineStr">
        <is>
          <t>Mme</t>
        </is>
      </c>
      <c r="C2" s="57" t="inlineStr">
        <is>
          <t>Nathalie</t>
        </is>
      </c>
      <c r="D2" s="57" t="inlineStr">
        <is>
          <t>Dubreuil</t>
        </is>
      </c>
      <c r="E2" s="57">
        <f>C2&amp;" "&amp;D2</f>
        <v/>
      </c>
      <c r="F2" s="57" t="inlineStr">
        <is>
          <t>nathalie.dubreuil@bonduelle.example</t>
        </is>
      </c>
      <c r="G2" s="57" t="inlineStr">
        <is>
          <t>+33 1 99 00 10 11</t>
        </is>
      </c>
      <c r="H2" s="57" t="inlineStr">
        <is>
          <t>+33 6 39 98 12 13</t>
        </is>
      </c>
      <c r="I2" s="57" t="inlineStr">
        <is>
          <t>Responsable achats emballages</t>
        </is>
      </c>
      <c r="J2" s="57" t="inlineStr">
        <is>
          <t>Achats</t>
        </is>
      </c>
      <c r="K2" s="57" t="inlineStr">
        <is>
          <t>Décideur</t>
        </is>
      </c>
      <c r="L2" s="57" t="inlineStr">
        <is>
          <t>Oui</t>
        </is>
      </c>
      <c r="M2" s="57" t="inlineStr">
        <is>
          <t>E001</t>
        </is>
      </c>
      <c r="N2" s="57">
        <f>IFERROR(INDEX(Entreprises!$B$2:$B$3000,MATCH(M2,Entreprises!$A$2:$A$3000,0)),"")</f>
        <v/>
      </c>
      <c r="O2" s="57" t="inlineStr">
        <is>
          <t>U002</t>
        </is>
      </c>
      <c r="P2" s="57">
        <f>IFERROR(INDEX(Commerciaux!$D$2:$D$3000,MATCH(O2,Commerciaux!$A$2:$A$3000,0)),"")</f>
        <v/>
      </c>
      <c r="Q2" s="57" t="inlineStr">
        <is>
          <t>Client</t>
        </is>
      </c>
      <c r="R2" s="57" t="inlineStr">
        <is>
          <t>Connecté</t>
        </is>
      </c>
      <c r="S2" s="57" t="inlineStr">
        <is>
          <t>Salon professionnel</t>
        </is>
      </c>
      <c r="T2" s="57" t="inlineStr">
        <is>
          <t>Visite</t>
        </is>
      </c>
      <c r="U2" s="57" t="inlineStr">
        <is>
          <t>Français</t>
        </is>
      </c>
      <c r="V2" s="58" t="n">
        <v>44566</v>
      </c>
      <c r="W2" s="58">
        <f>IF(COUNTIFS(Activités!$F$2:$F$3000,A2,Activités!$B$2:$B$3000,"&lt;="&amp;DateExport)=0,"",_xlfn.MAXIFS(Activités!$B$2:$B$3000,Activités!$F$2:$F$3000,A2,Activités!$B$2:$B$3000,"&lt;="&amp;DateExport))</f>
        <v/>
      </c>
      <c r="X2" s="60">
        <f>COUNTIFS(Activités!$F$2:$F$3000,A2,Activités!$B$2:$B$3000,"&gt;"&amp;(DateExport-365),Activités!$B$2:$B$3000,"&lt;="&amp;DateExport)</f>
        <v/>
      </c>
      <c r="Y2" s="57" t="inlineStr">
        <is>
          <t>Oui</t>
        </is>
      </c>
      <c r="Z2" s="40" t="inlineStr">
        <is>
          <t>Interlocutrice principale. Très attentive au respect des délais et aux indexations matières.</t>
        </is>
      </c>
    </row>
    <row r="3" ht="23.85" customHeight="1" s="34">
      <c r="A3" s="57" t="inlineStr">
        <is>
          <t>C002</t>
        </is>
      </c>
      <c r="B3" s="57" t="inlineStr">
        <is>
          <t>M.</t>
        </is>
      </c>
      <c r="C3" s="57" t="inlineStr">
        <is>
          <t>Kevin</t>
        </is>
      </c>
      <c r="D3" s="57" t="inlineStr">
        <is>
          <t>Lemaire</t>
        </is>
      </c>
      <c r="E3" s="57">
        <f>C3&amp;" "&amp;D3</f>
        <v/>
      </c>
      <c r="F3" s="57" t="inlineStr">
        <is>
          <t>kevin.lemaire@bonduelle.example</t>
        </is>
      </c>
      <c r="G3" s="57" t="inlineStr">
        <is>
          <t>+33 1 99 00 13 18</t>
        </is>
      </c>
      <c r="H3" s="57" t="inlineStr">
        <is>
          <t>+33 6 39 98 17 22</t>
        </is>
      </c>
      <c r="I3" s="57" t="inlineStr">
        <is>
          <t>Chef de projet packaging</t>
        </is>
      </c>
      <c r="J3" s="57" t="inlineStr">
        <is>
          <t>R&amp;D packaging</t>
        </is>
      </c>
      <c r="K3" s="57" t="inlineStr">
        <is>
          <t>Prescripteur</t>
        </is>
      </c>
      <c r="L3" s="57" t="inlineStr">
        <is>
          <t>Non</t>
        </is>
      </c>
      <c r="M3" s="57" t="inlineStr">
        <is>
          <t>E001</t>
        </is>
      </c>
      <c r="N3" s="57">
        <f>IFERROR(INDEX(Entreprises!$B$2:$B$3000,MATCH(M3,Entreprises!$A$2:$A$3000,0)),"")</f>
        <v/>
      </c>
      <c r="O3" s="57" t="inlineStr">
        <is>
          <t>U002</t>
        </is>
      </c>
      <c r="P3" s="57">
        <f>IFERROR(INDEX(Commerciaux!$D$2:$D$3000,MATCH(O3,Commerciaux!$A$2:$A$3000,0)),"")</f>
        <v/>
      </c>
      <c r="Q3" s="57" t="inlineStr">
        <is>
          <t>Client</t>
        </is>
      </c>
      <c r="R3" s="57" t="inlineStr">
        <is>
          <t>Connecté</t>
        </is>
      </c>
      <c r="S3" s="57" t="inlineStr">
        <is>
          <t>Salon professionnel</t>
        </is>
      </c>
      <c r="T3" s="57" t="inlineStr">
        <is>
          <t>E-mail</t>
        </is>
      </c>
      <c r="U3" s="57" t="inlineStr">
        <is>
          <t>Français</t>
        </is>
      </c>
      <c r="V3" s="58" t="n">
        <v>44508</v>
      </c>
      <c r="W3" s="58">
        <f>IF(COUNTIFS(Activités!$F$2:$F$3000,A3,Activités!$B$2:$B$3000,"&lt;="&amp;DateExport)=0,"",_xlfn.MAXIFS(Activités!$B$2:$B$3000,Activités!$F$2:$F$3000,A3,Activités!$B$2:$B$3000,"&lt;="&amp;DateExport))</f>
        <v/>
      </c>
      <c r="X3" s="60">
        <f>COUNTIFS(Activités!$F$2:$F$3000,A3,Activités!$B$2:$B$3000,"&gt;"&amp;(DateExport-365),Activités!$B$2:$B$3000,"&lt;="&amp;DateExport)</f>
        <v/>
      </c>
      <c r="Y3" s="57" t="inlineStr">
        <is>
          <t>Oui</t>
        </is>
      </c>
      <c r="Z3" s="40" t="inlineStr">
        <is>
          <t>Porte le projet d'emballages mono-matériau. Apprécie les échantillons physiques.</t>
        </is>
      </c>
    </row>
    <row r="4" ht="15" customHeight="1" s="34">
      <c r="A4" s="57" t="inlineStr">
        <is>
          <t>C003</t>
        </is>
      </c>
      <c r="B4" s="57" t="inlineStr">
        <is>
          <t>Mme</t>
        </is>
      </c>
      <c r="C4" s="57" t="inlineStr">
        <is>
          <t>Aurélie</t>
        </is>
      </c>
      <c r="D4" s="57" t="inlineStr">
        <is>
          <t>Vasseur</t>
        </is>
      </c>
      <c r="E4" s="57">
        <f>C4&amp;" "&amp;D4</f>
        <v/>
      </c>
      <c r="F4" s="57" t="inlineStr">
        <is>
          <t>aurelie.vasseur@lesaffre.example</t>
        </is>
      </c>
      <c r="G4" s="57" t="inlineStr">
        <is>
          <t>+33 1 99 00 16 25</t>
        </is>
      </c>
      <c r="H4" s="57" t="inlineStr">
        <is>
          <t>+33 6 39 98 22 31</t>
        </is>
      </c>
      <c r="I4" s="57" t="inlineStr">
        <is>
          <t>Acheteuse emballages et indirects</t>
        </is>
      </c>
      <c r="J4" s="57" t="inlineStr">
        <is>
          <t>Achats</t>
        </is>
      </c>
      <c r="K4" s="57" t="inlineStr">
        <is>
          <t>Influenceur</t>
        </is>
      </c>
      <c r="L4" s="57" t="inlineStr">
        <is>
          <t>Oui</t>
        </is>
      </c>
      <c r="M4" s="57" t="inlineStr">
        <is>
          <t>E002</t>
        </is>
      </c>
      <c r="N4" s="57">
        <f>IFERROR(INDEX(Entreprises!$B$2:$B$3000,MATCH(M4,Entreprises!$A$2:$A$3000,0)),"")</f>
        <v/>
      </c>
      <c r="O4" s="57" t="inlineStr">
        <is>
          <t>U002</t>
        </is>
      </c>
      <c r="P4" s="57">
        <f>IFERROR(INDEX(Commerciaux!$D$2:$D$3000,MATCH(O4,Commerciaux!$A$2:$A$3000,0)),"")</f>
        <v/>
      </c>
      <c r="Q4" s="57" t="inlineStr">
        <is>
          <t>Client</t>
        </is>
      </c>
      <c r="R4" s="57" t="inlineStr">
        <is>
          <t>Connecté</t>
        </is>
      </c>
      <c r="S4" s="57" t="inlineStr">
        <is>
          <t>Prospection terrain</t>
        </is>
      </c>
      <c r="T4" s="57" t="inlineStr">
        <is>
          <t>Téléphone</t>
        </is>
      </c>
      <c r="U4" s="57" t="inlineStr">
        <is>
          <t>Français</t>
        </is>
      </c>
      <c r="V4" s="58" t="n">
        <v>44743</v>
      </c>
      <c r="W4" s="58">
        <f>IF(COUNTIFS(Activités!$F$2:$F$3000,A4,Activités!$B$2:$B$3000,"&lt;="&amp;DateExport)=0,"",_xlfn.MAXIFS(Activités!$B$2:$B$3000,Activités!$F$2:$F$3000,A4,Activités!$B$2:$B$3000,"&lt;="&amp;DateExport))</f>
        <v/>
      </c>
      <c r="X4" s="60">
        <f>COUNTIFS(Activités!$F$2:$F$3000,A4,Activités!$B$2:$B$3000,"&gt;"&amp;(DateExport-365),Activités!$B$2:$B$3000,"&lt;="&amp;DateExport)</f>
        <v/>
      </c>
      <c r="Y4" s="57" t="inlineStr">
        <is>
          <t>Oui</t>
        </is>
      </c>
      <c r="Z4" s="40" t="inlineStr">
        <is>
          <t>Gère les commandes récurrentes de caisses et d'étiquettes.</t>
        </is>
      </c>
    </row>
    <row r="5" ht="23.85" customHeight="1" s="34">
      <c r="A5" s="57" t="inlineStr">
        <is>
          <t>C004</t>
        </is>
      </c>
      <c r="B5" s="57" t="inlineStr">
        <is>
          <t>M.</t>
        </is>
      </c>
      <c r="C5" s="57" t="inlineStr">
        <is>
          <t>Philippe</t>
        </is>
      </c>
      <c r="D5" s="57" t="inlineStr">
        <is>
          <t>Delattre</t>
        </is>
      </c>
      <c r="E5" s="57">
        <f>C5&amp;" "&amp;D5</f>
        <v/>
      </c>
      <c r="F5" s="57" t="inlineStr">
        <is>
          <t>philippe.delattre@lesaffre.example</t>
        </is>
      </c>
      <c r="G5" s="57" t="inlineStr">
        <is>
          <t>+33 1 99 00 19 32</t>
        </is>
      </c>
      <c r="H5" s="57" t="inlineStr">
        <is>
          <t>+33 6 39 98 27 40</t>
        </is>
      </c>
      <c r="I5" s="57" t="inlineStr">
        <is>
          <t>Directeur industriel</t>
        </is>
      </c>
      <c r="J5" s="57" t="inlineStr">
        <is>
          <t>Industrie</t>
        </is>
      </c>
      <c r="K5" s="57" t="inlineStr">
        <is>
          <t>Décideur</t>
        </is>
      </c>
      <c r="L5" s="57" t="inlineStr">
        <is>
          <t>Oui</t>
        </is>
      </c>
      <c r="M5" s="57" t="inlineStr">
        <is>
          <t>E002</t>
        </is>
      </c>
      <c r="N5" s="57">
        <f>IFERROR(INDEX(Entreprises!$B$2:$B$3000,MATCH(M5,Entreprises!$A$2:$A$3000,0)),"")</f>
        <v/>
      </c>
      <c r="O5" s="57" t="inlineStr">
        <is>
          <t>U002</t>
        </is>
      </c>
      <c r="P5" s="57">
        <f>IFERROR(INDEX(Commerciaux!$D$2:$D$3000,MATCH(O5,Commerciaux!$A$2:$A$3000,0)),"")</f>
        <v/>
      </c>
      <c r="Q5" s="57" t="inlineStr">
        <is>
          <t>Client</t>
        </is>
      </c>
      <c r="R5" s="57" t="inlineStr">
        <is>
          <t>Connecté</t>
        </is>
      </c>
      <c r="S5" s="57" t="inlineStr">
        <is>
          <t>Prospection terrain</t>
        </is>
      </c>
      <c r="T5" s="57" t="inlineStr">
        <is>
          <t>Visite</t>
        </is>
      </c>
      <c r="U5" s="57" t="inlineStr">
        <is>
          <t>Français</t>
        </is>
      </c>
      <c r="V5" s="58" t="n">
        <v>46041</v>
      </c>
      <c r="W5" s="58">
        <f>IF(COUNTIFS(Activités!$F$2:$F$3000,A5,Activités!$B$2:$B$3000,"&lt;="&amp;DateExport)=0,"",_xlfn.MAXIFS(Activités!$B$2:$B$3000,Activités!$F$2:$F$3000,A5,Activités!$B$2:$B$3000,"&lt;="&amp;DateExport))</f>
        <v/>
      </c>
      <c r="X5" s="60">
        <f>COUNTIFS(Activités!$F$2:$F$3000,A5,Activités!$B$2:$B$3000,"&gt;"&amp;(DateExport-365),Activités!$B$2:$B$3000,"&lt;="&amp;DateExport)</f>
        <v/>
      </c>
      <c r="Y5" s="57" t="inlineStr">
        <is>
          <t>Non</t>
        </is>
      </c>
      <c r="Z5" s="40" t="inlineStr">
        <is>
          <t>Arrivé en janvier 2026. Raisonne en coût total de possession et en sécurité des opérateurs.</t>
        </is>
      </c>
    </row>
    <row r="6" ht="23.85" customHeight="1" s="34">
      <c r="A6" s="57" t="inlineStr">
        <is>
          <t>C005</t>
        </is>
      </c>
      <c r="B6" s="57" t="inlineStr">
        <is>
          <t>Mme</t>
        </is>
      </c>
      <c r="C6" s="57" t="inlineStr">
        <is>
          <t>Sophie</t>
        </is>
      </c>
      <c r="D6" s="57" t="inlineStr">
        <is>
          <t>Marchand</t>
        </is>
      </c>
      <c r="E6" s="57">
        <f>C6&amp;" "&amp;D6</f>
        <v/>
      </c>
      <c r="F6" s="57" t="inlineStr">
        <is>
          <t>sophie.marchand@guerbet.example</t>
        </is>
      </c>
      <c r="G6" s="57" t="inlineStr">
        <is>
          <t>+33 1 99 00 22 39</t>
        </is>
      </c>
      <c r="H6" s="57" t="inlineStr">
        <is>
          <t>+33 6 39 98 32 49</t>
        </is>
      </c>
      <c r="I6" s="57" t="inlineStr">
        <is>
          <t>Responsable assurance qualité fournisseurs</t>
        </is>
      </c>
      <c r="J6" s="57" t="inlineStr">
        <is>
          <t>Qualité</t>
        </is>
      </c>
      <c r="K6" s="57" t="inlineStr">
        <is>
          <t>Décideur</t>
        </is>
      </c>
      <c r="L6" s="57" t="inlineStr">
        <is>
          <t>Oui</t>
        </is>
      </c>
      <c r="M6" s="57" t="inlineStr">
        <is>
          <t>E003</t>
        </is>
      </c>
      <c r="N6" s="57">
        <f>IFERROR(INDEX(Entreprises!$B$2:$B$3000,MATCH(M6,Entreprises!$A$2:$A$3000,0)),"")</f>
        <v/>
      </c>
      <c r="O6" s="57" t="inlineStr">
        <is>
          <t>U002</t>
        </is>
      </c>
      <c r="P6" s="57">
        <f>IFERROR(INDEX(Commerciaux!$D$2:$D$3000,MATCH(O6,Commerciaux!$A$2:$A$3000,0)),"")</f>
        <v/>
      </c>
      <c r="Q6" s="57" t="inlineStr">
        <is>
          <t>Client</t>
        </is>
      </c>
      <c r="R6" s="57" t="inlineStr">
        <is>
          <t>Connecté</t>
        </is>
      </c>
      <c r="S6" s="57" t="inlineStr">
        <is>
          <t>Recommandation</t>
        </is>
      </c>
      <c r="T6" s="57" t="inlineStr">
        <is>
          <t>E-mail</t>
        </is>
      </c>
      <c r="U6" s="57" t="inlineStr">
        <is>
          <t>Français</t>
        </is>
      </c>
      <c r="V6" s="58" t="n">
        <v>43888</v>
      </c>
      <c r="W6" s="58">
        <f>IF(COUNTIFS(Activités!$F$2:$F$3000,A6,Activités!$B$2:$B$3000,"&lt;="&amp;DateExport)=0,"",_xlfn.MAXIFS(Activités!$B$2:$B$3000,Activités!$F$2:$F$3000,A6,Activités!$B$2:$B$3000,"&lt;="&amp;DateExport))</f>
        <v/>
      </c>
      <c r="X6" s="60">
        <f>COUNTIFS(Activités!$F$2:$F$3000,A6,Activités!$B$2:$B$3000,"&gt;"&amp;(DateExport-365),Activités!$B$2:$B$3000,"&lt;="&amp;DateExport)</f>
        <v/>
      </c>
      <c r="Y6" s="57" t="inlineStr">
        <is>
          <t>Non</t>
        </is>
      </c>
      <c r="Z6" s="40" t="inlineStr">
        <is>
          <t>Pilote les audits fournisseurs. Exige des réponses écrites et documentées.</t>
        </is>
      </c>
    </row>
    <row r="7" ht="15" customHeight="1" s="34">
      <c r="A7" s="57" t="inlineStr">
        <is>
          <t>C006</t>
        </is>
      </c>
      <c r="B7" s="57" t="inlineStr">
        <is>
          <t>M.</t>
        </is>
      </c>
      <c r="C7" s="57" t="inlineStr">
        <is>
          <t>Olivier</t>
        </is>
      </c>
      <c r="D7" s="57" t="inlineStr">
        <is>
          <t>Chen</t>
        </is>
      </c>
      <c r="E7" s="57">
        <f>C7&amp;" "&amp;D7</f>
        <v/>
      </c>
      <c r="F7" s="57" t="inlineStr">
        <is>
          <t>olivier.chen@guerbet.example</t>
        </is>
      </c>
      <c r="G7" s="57" t="inlineStr">
        <is>
          <t>+33 1 99 00 25 46</t>
        </is>
      </c>
      <c r="H7" s="57" t="inlineStr">
        <is>
          <t>+33 6 39 98 37 58</t>
        </is>
      </c>
      <c r="I7" s="57" t="inlineStr">
        <is>
          <t>Responsable conditionnement</t>
        </is>
      </c>
      <c r="J7" s="57" t="inlineStr">
        <is>
          <t>Production</t>
        </is>
      </c>
      <c r="K7" s="57" t="inlineStr">
        <is>
          <t>Prescripteur</t>
        </is>
      </c>
      <c r="L7" s="57" t="inlineStr">
        <is>
          <t>Non</t>
        </is>
      </c>
      <c r="M7" s="57" t="inlineStr">
        <is>
          <t>E003</t>
        </is>
      </c>
      <c r="N7" s="57">
        <f>IFERROR(INDEX(Entreprises!$B$2:$B$3000,MATCH(M7,Entreprises!$A$2:$A$3000,0)),"")</f>
        <v/>
      </c>
      <c r="O7" s="57" t="inlineStr">
        <is>
          <t>U002</t>
        </is>
      </c>
      <c r="P7" s="57">
        <f>IFERROR(INDEX(Commerciaux!$D$2:$D$3000,MATCH(O7,Commerciaux!$A$2:$A$3000,0)),"")</f>
        <v/>
      </c>
      <c r="Q7" s="57" t="inlineStr">
        <is>
          <t>Client</t>
        </is>
      </c>
      <c r="R7" s="57" t="inlineStr">
        <is>
          <t>Connecté</t>
        </is>
      </c>
      <c r="S7" s="57" t="inlineStr">
        <is>
          <t>Recommandation</t>
        </is>
      </c>
      <c r="T7" s="57" t="inlineStr">
        <is>
          <t>Téléphone</t>
        </is>
      </c>
      <c r="U7" s="57" t="inlineStr">
        <is>
          <t>Français</t>
        </is>
      </c>
      <c r="V7" s="58" t="n">
        <v>43913</v>
      </c>
      <c r="W7" s="58">
        <f>IF(COUNTIFS(Activités!$F$2:$F$3000,A7,Activités!$B$2:$B$3000,"&lt;="&amp;DateExport)=0,"",_xlfn.MAXIFS(Activités!$B$2:$B$3000,Activités!$F$2:$F$3000,A7,Activités!$B$2:$B$3000,"&lt;="&amp;DateExport))</f>
        <v/>
      </c>
      <c r="X7" s="60">
        <f>COUNTIFS(Activités!$F$2:$F$3000,A7,Activités!$B$2:$B$3000,"&gt;"&amp;(DateExport-365),Activités!$B$2:$B$3000,"&lt;="&amp;DateExport)</f>
        <v/>
      </c>
      <c r="Y7" s="57" t="inlineStr">
        <is>
          <t>Oui</t>
        </is>
      </c>
      <c r="Z7" s="40" t="inlineStr">
        <is>
          <t>Porte le projet de refonte des notices multilingues.</t>
        </is>
      </c>
    </row>
    <row r="8" ht="15" customHeight="1" s="34">
      <c r="A8" s="57" t="inlineStr">
        <is>
          <t>C007</t>
        </is>
      </c>
      <c r="B8" s="57" t="inlineStr">
        <is>
          <t>Mme</t>
        </is>
      </c>
      <c r="C8" s="57" t="inlineStr">
        <is>
          <t>Claire</t>
        </is>
      </c>
      <c r="D8" s="57" t="inlineStr">
        <is>
          <t>Fontaine</t>
        </is>
      </c>
      <c r="E8" s="57">
        <f>C8&amp;" "&amp;D8</f>
        <v/>
      </c>
      <c r="F8" s="57" t="inlineStr">
        <is>
          <t>claire.fontaine@interparfums.example</t>
        </is>
      </c>
      <c r="G8" s="57" t="inlineStr">
        <is>
          <t>+33 1 99 00 28 53</t>
        </is>
      </c>
      <c r="H8" s="57" t="inlineStr">
        <is>
          <t>+33 6 39 98 42 67</t>
        </is>
      </c>
      <c r="I8" s="57" t="inlineStr">
        <is>
          <t>Responsable développement packaging</t>
        </is>
      </c>
      <c r="J8" s="57" t="inlineStr">
        <is>
          <t>Packaging</t>
        </is>
      </c>
      <c r="K8" s="57" t="inlineStr">
        <is>
          <t>Décideur</t>
        </is>
      </c>
      <c r="L8" s="57" t="inlineStr">
        <is>
          <t>Oui</t>
        </is>
      </c>
      <c r="M8" s="57" t="inlineStr">
        <is>
          <t>E004</t>
        </is>
      </c>
      <c r="N8" s="57">
        <f>IFERROR(INDEX(Entreprises!$B$2:$B$3000,MATCH(M8,Entreprises!$A$2:$A$3000,0)),"")</f>
        <v/>
      </c>
      <c r="O8" s="57" t="inlineStr">
        <is>
          <t>U002</t>
        </is>
      </c>
      <c r="P8" s="57">
        <f>IFERROR(INDEX(Commerciaux!$D$2:$D$3000,MATCH(O8,Commerciaux!$A$2:$A$3000,0)),"")</f>
        <v/>
      </c>
      <c r="Q8" s="57" t="inlineStr">
        <is>
          <t>Client</t>
        </is>
      </c>
      <c r="R8" s="57" t="inlineStr">
        <is>
          <t>Connecté</t>
        </is>
      </c>
      <c r="S8" s="57" t="inlineStr">
        <is>
          <t>Salon professionnel</t>
        </is>
      </c>
      <c r="T8" s="57" t="inlineStr">
        <is>
          <t>Visite</t>
        </is>
      </c>
      <c r="U8" s="57" t="inlineStr">
        <is>
          <t>Français</t>
        </is>
      </c>
      <c r="V8" s="58" t="n">
        <v>44952</v>
      </c>
      <c r="W8" s="58">
        <f>IF(COUNTIFS(Activités!$F$2:$F$3000,A8,Activités!$B$2:$B$3000,"&lt;="&amp;DateExport)=0,"",_xlfn.MAXIFS(Activités!$B$2:$B$3000,Activités!$F$2:$F$3000,A8,Activités!$B$2:$B$3000,"&lt;="&amp;DateExport))</f>
        <v/>
      </c>
      <c r="X8" s="60">
        <f>COUNTIFS(Activités!$F$2:$F$3000,A8,Activités!$B$2:$B$3000,"&gt;"&amp;(DateExport-365),Activités!$B$2:$B$3000,"&lt;="&amp;DateExport)</f>
        <v/>
      </c>
      <c r="Y8" s="57" t="inlineStr">
        <is>
          <t>Oui</t>
        </is>
      </c>
      <c r="Z8" s="40" t="inlineStr">
        <is>
          <t>Sensible au design et à l'éco-conception.</t>
        </is>
      </c>
    </row>
    <row r="9" ht="15" customHeight="1" s="34">
      <c r="A9" s="57" t="inlineStr">
        <is>
          <t>C008</t>
        </is>
      </c>
      <c r="B9" s="57" t="inlineStr">
        <is>
          <t>M.</t>
        </is>
      </c>
      <c r="C9" s="57" t="inlineStr">
        <is>
          <t>Hugo</t>
        </is>
      </c>
      <c r="D9" s="57" t="inlineStr">
        <is>
          <t>Perrin</t>
        </is>
      </c>
      <c r="E9" s="57">
        <f>C9&amp;" "&amp;D9</f>
        <v/>
      </c>
      <c r="F9" s="57" t="inlineStr">
        <is>
          <t>hugo.perrin@interparfums.example</t>
        </is>
      </c>
      <c r="G9" s="57" t="inlineStr">
        <is>
          <t>+33 1 99 00 31 60</t>
        </is>
      </c>
      <c r="H9" s="57" t="inlineStr">
        <is>
          <t>+33 6 39 98 47 76</t>
        </is>
      </c>
      <c r="I9" s="57" t="inlineStr">
        <is>
          <t>Acheteur</t>
        </is>
      </c>
      <c r="J9" s="57" t="inlineStr">
        <is>
          <t>Achats</t>
        </is>
      </c>
      <c r="K9" s="57" t="inlineStr">
        <is>
          <t>Influenceur</t>
        </is>
      </c>
      <c r="L9" s="57" t="inlineStr">
        <is>
          <t>Non</t>
        </is>
      </c>
      <c r="M9" s="57" t="inlineStr">
        <is>
          <t>E004</t>
        </is>
      </c>
      <c r="N9" s="57">
        <f>IFERROR(INDEX(Entreprises!$B$2:$B$3000,MATCH(M9,Entreprises!$A$2:$A$3000,0)),"")</f>
        <v/>
      </c>
      <c r="O9" s="57" t="inlineStr">
        <is>
          <t>U002</t>
        </is>
      </c>
      <c r="P9" s="57">
        <f>IFERROR(INDEX(Commerciaux!$D$2:$D$3000,MATCH(O9,Commerciaux!$A$2:$A$3000,0)),"")</f>
        <v/>
      </c>
      <c r="Q9" s="57" t="inlineStr">
        <is>
          <t>Client</t>
        </is>
      </c>
      <c r="R9" s="57" t="inlineStr">
        <is>
          <t>Connecté</t>
        </is>
      </c>
      <c r="S9" s="57" t="inlineStr">
        <is>
          <t>Salon professionnel</t>
        </is>
      </c>
      <c r="T9" s="57" t="inlineStr">
        <is>
          <t>E-mail</t>
        </is>
      </c>
      <c r="U9" s="57" t="inlineStr">
        <is>
          <t>Français</t>
        </is>
      </c>
      <c r="V9" s="58" t="n">
        <v>44966</v>
      </c>
      <c r="W9" s="58">
        <f>IF(COUNTIFS(Activités!$F$2:$F$3000,A9,Activités!$B$2:$B$3000,"&lt;="&amp;DateExport)=0,"",_xlfn.MAXIFS(Activités!$B$2:$B$3000,Activités!$F$2:$F$3000,A9,Activités!$B$2:$B$3000,"&lt;="&amp;DateExport))</f>
        <v/>
      </c>
      <c r="X9" s="60">
        <f>COUNTIFS(Activités!$F$2:$F$3000,A9,Activités!$B$2:$B$3000,"&gt;"&amp;(DateExport-365),Activités!$B$2:$B$3000,"&lt;="&amp;DateExport)</f>
        <v/>
      </c>
      <c r="Y9" s="57" t="inlineStr">
        <is>
          <t>Oui</t>
        </is>
      </c>
      <c r="Z9" s="40" t="inlineStr">
        <is>
          <t>Suit les délais et la facturation.</t>
        </is>
      </c>
    </row>
    <row r="10" ht="15" customHeight="1" s="34">
      <c r="A10" s="57" t="inlineStr">
        <is>
          <t>C009</t>
        </is>
      </c>
      <c r="B10" s="57" t="inlineStr">
        <is>
          <t>Mme</t>
        </is>
      </c>
      <c r="C10" s="57" t="inlineStr">
        <is>
          <t>Léa</t>
        </is>
      </c>
      <c r="D10" s="57" t="inlineStr">
        <is>
          <t>Moreau</t>
        </is>
      </c>
      <c r="E10" s="57">
        <f>C10&amp;" "&amp;D10</f>
        <v/>
      </c>
      <c r="F10" s="57" t="inlineStr">
        <is>
          <t>lea.moreau@clarins.example</t>
        </is>
      </c>
      <c r="G10" s="57" t="inlineStr">
        <is>
          <t>+33 1 99 00 34 67</t>
        </is>
      </c>
      <c r="H10" s="57" t="inlineStr">
        <is>
          <t>+33 6 39 98 52 85</t>
        </is>
      </c>
      <c r="I10" s="57" t="inlineStr">
        <is>
          <t>Responsable achats packaging</t>
        </is>
      </c>
      <c r="J10" s="57" t="inlineStr">
        <is>
          <t>Achats</t>
        </is>
      </c>
      <c r="K10" s="57" t="inlineStr">
        <is>
          <t>Décideur</t>
        </is>
      </c>
      <c r="L10" s="57" t="inlineStr">
        <is>
          <t>Oui</t>
        </is>
      </c>
      <c r="M10" s="57" t="inlineStr">
        <is>
          <t>E005</t>
        </is>
      </c>
      <c r="N10" s="57">
        <f>IFERROR(INDEX(Entreprises!$B$2:$B$3000,MATCH(M10,Entreprises!$A$2:$A$3000,0)),"")</f>
        <v/>
      </c>
      <c r="O10" s="57" t="inlineStr">
        <is>
          <t>U002</t>
        </is>
      </c>
      <c r="P10" s="57">
        <f>IFERROR(INDEX(Commerciaux!$D$2:$D$3000,MATCH(O10,Commerciaux!$A$2:$A$3000,0)),"")</f>
        <v/>
      </c>
      <c r="Q10" s="57" t="inlineStr">
        <is>
          <t>Opportunité</t>
        </is>
      </c>
      <c r="R10" s="57" t="inlineStr">
        <is>
          <t>Affaire ouverte</t>
        </is>
      </c>
      <c r="S10" s="57" t="inlineStr">
        <is>
          <t>Site web</t>
        </is>
      </c>
      <c r="T10" s="57" t="inlineStr">
        <is>
          <t>Visio</t>
        </is>
      </c>
      <c r="U10" s="57" t="inlineStr">
        <is>
          <t>Français</t>
        </is>
      </c>
      <c r="V10" s="58" t="n">
        <v>45981</v>
      </c>
      <c r="W10" s="58">
        <f>IF(COUNTIFS(Activités!$F$2:$F$3000,A10,Activités!$B$2:$B$3000,"&lt;="&amp;DateExport)=0,"",_xlfn.MAXIFS(Activités!$B$2:$B$3000,Activités!$F$2:$F$3000,A10,Activités!$B$2:$B$3000,"&lt;="&amp;DateExport))</f>
        <v/>
      </c>
      <c r="X10" s="60">
        <f>COUNTIFS(Activités!$F$2:$F$3000,A10,Activités!$B$2:$B$3000,"&gt;"&amp;(DateExport-365),Activités!$B$2:$B$3000,"&lt;="&amp;DateExport)</f>
        <v/>
      </c>
      <c r="Y10" s="57" t="inlineStr">
        <is>
          <t>Oui</t>
        </is>
      </c>
      <c r="Z10" s="40" t="inlineStr">
        <is>
          <t>Contact entrant via le site web. Cherche un second fournisseur d'étuis.</t>
        </is>
      </c>
    </row>
    <row r="11" ht="23.85" customHeight="1" s="34">
      <c r="A11" s="57" t="inlineStr">
        <is>
          <t>C010</t>
        </is>
      </c>
      <c r="B11" s="57" t="inlineStr">
        <is>
          <t>M.</t>
        </is>
      </c>
      <c r="C11" s="57" t="inlineStr">
        <is>
          <t>Rachid</t>
        </is>
      </c>
      <c r="D11" s="57" t="inlineStr">
        <is>
          <t>Bensaïd</t>
        </is>
      </c>
      <c r="E11" s="57">
        <f>C11&amp;" "&amp;D11</f>
        <v/>
      </c>
      <c r="F11" s="57" t="inlineStr">
        <is>
          <t>rachid.bensaid@imerys.example</t>
        </is>
      </c>
      <c r="G11" s="57" t="inlineStr">
        <is>
          <t>+33 1 99 00 37 74</t>
        </is>
      </c>
      <c r="H11" s="57" t="inlineStr">
        <is>
          <t>+33 6 39 98 57 94</t>
        </is>
      </c>
      <c r="I11" s="57" t="inlineStr">
        <is>
          <t>Responsable supply chain</t>
        </is>
      </c>
      <c r="J11" s="57" t="inlineStr">
        <is>
          <t>Supply chain</t>
        </is>
      </c>
      <c r="K11" s="57" t="inlineStr">
        <is>
          <t>Influenceur</t>
        </is>
      </c>
      <c r="L11" s="57" t="inlineStr">
        <is>
          <t>Oui</t>
        </is>
      </c>
      <c r="M11" s="57" t="inlineStr">
        <is>
          <t>E006</t>
        </is>
      </c>
      <c r="N11" s="57">
        <f>IFERROR(INDEX(Entreprises!$B$2:$B$3000,MATCH(M11,Entreprises!$A$2:$A$3000,0)),"")</f>
        <v/>
      </c>
      <c r="O11" s="57" t="inlineStr">
        <is>
          <t>U002</t>
        </is>
      </c>
      <c r="P11" s="57">
        <f>IFERROR(INDEX(Commerciaux!$D$2:$D$3000,MATCH(O11,Commerciaux!$A$2:$A$3000,0)),"")</f>
        <v/>
      </c>
      <c r="Q11" s="57" t="inlineStr">
        <is>
          <t>Prospect</t>
        </is>
      </c>
      <c r="R11" s="57" t="inlineStr">
        <is>
          <t>Tentative de contact</t>
        </is>
      </c>
      <c r="S11" s="57" t="inlineStr">
        <is>
          <t>Prospection téléphonique</t>
        </is>
      </c>
      <c r="T11" s="57" t="inlineStr">
        <is>
          <t>Téléphone</t>
        </is>
      </c>
      <c r="U11" s="57" t="inlineStr">
        <is>
          <t>Français</t>
        </is>
      </c>
      <c r="V11" s="58" t="n">
        <v>46262</v>
      </c>
      <c r="W11" s="58">
        <f>IF(COUNTIFS(Activités!$F$2:$F$3000,A11,Activités!$B$2:$B$3000,"&lt;="&amp;DateExport)=0,"",_xlfn.MAXIFS(Activités!$B$2:$B$3000,Activités!$F$2:$F$3000,A11,Activités!$B$2:$B$3000,"&lt;="&amp;DateExport))</f>
        <v/>
      </c>
      <c r="X11" s="60">
        <f>COUNTIFS(Activités!$F$2:$F$3000,A11,Activités!$B$2:$B$3000,"&gt;"&amp;(DateExport-365),Activités!$B$2:$B$3000,"&lt;="&amp;DateExport)</f>
        <v/>
      </c>
      <c r="Y11" s="57" t="inlineStr">
        <is>
          <t>Non</t>
        </is>
      </c>
      <c r="Z11" s="40" t="inlineStr">
        <is>
          <t>Premier contact chez Imerys, oriente vers les achats si le besoin se confirme.</t>
        </is>
      </c>
    </row>
    <row r="12" ht="15" customHeight="1" s="34">
      <c r="A12" s="57" t="inlineStr">
        <is>
          <t>C011</t>
        </is>
      </c>
      <c r="B12" s="57" t="inlineStr">
        <is>
          <t>M.</t>
        </is>
      </c>
      <c r="C12" s="57" t="inlineStr">
        <is>
          <t>François</t>
        </is>
      </c>
      <c r="D12" s="57" t="inlineStr">
        <is>
          <t>Girard</t>
        </is>
      </c>
      <c r="E12" s="57">
        <f>C12&amp;" "&amp;D12</f>
        <v/>
      </c>
      <c r="F12" s="57" t="inlineStr">
        <is>
          <t>francois.girard@nexans.example</t>
        </is>
      </c>
      <c r="G12" s="57" t="inlineStr">
        <is>
          <t>+33 1 99 00 40 81</t>
        </is>
      </c>
      <c r="H12" s="57" t="inlineStr">
        <is>
          <t>+33 6 39 98 62 20</t>
        </is>
      </c>
      <c r="I12" s="57" t="inlineStr">
        <is>
          <t>Responsable logistique France</t>
        </is>
      </c>
      <c r="J12" s="57" t="inlineStr">
        <is>
          <t>Logistique</t>
        </is>
      </c>
      <c r="K12" s="57" t="inlineStr">
        <is>
          <t>Décideur</t>
        </is>
      </c>
      <c r="L12" s="57" t="inlineStr">
        <is>
          <t>Oui</t>
        </is>
      </c>
      <c r="M12" s="57" t="inlineStr">
        <is>
          <t>E007</t>
        </is>
      </c>
      <c r="N12" s="57">
        <f>IFERROR(INDEX(Entreprises!$B$2:$B$3000,MATCH(M12,Entreprises!$A$2:$A$3000,0)),"")</f>
        <v/>
      </c>
      <c r="O12" s="57" t="inlineStr">
        <is>
          <t>U002</t>
        </is>
      </c>
      <c r="P12" s="57">
        <f>IFERROR(INDEX(Commerciaux!$D$2:$D$3000,MATCH(O12,Commerciaux!$A$2:$A$3000,0)),"")</f>
        <v/>
      </c>
      <c r="Q12" s="57" t="inlineStr">
        <is>
          <t>Client</t>
        </is>
      </c>
      <c r="R12" s="57" t="inlineStr">
        <is>
          <t>Connecté</t>
        </is>
      </c>
      <c r="S12" s="57" t="inlineStr">
        <is>
          <t>Recommandation</t>
        </is>
      </c>
      <c r="T12" s="57" t="inlineStr">
        <is>
          <t>Visite</t>
        </is>
      </c>
      <c r="U12" s="57" t="inlineStr">
        <is>
          <t>Français</t>
        </is>
      </c>
      <c r="V12" s="58" t="n">
        <v>45112</v>
      </c>
      <c r="W12" s="58">
        <f>IF(COUNTIFS(Activités!$F$2:$F$3000,A12,Activités!$B$2:$B$3000,"&lt;="&amp;DateExport)=0,"",_xlfn.MAXIFS(Activités!$B$2:$B$3000,Activités!$F$2:$F$3000,A12,Activités!$B$2:$B$3000,"&lt;="&amp;DateExport))</f>
        <v/>
      </c>
      <c r="X12" s="60">
        <f>COUNTIFS(Activités!$F$2:$F$3000,A12,Activités!$B$2:$B$3000,"&gt;"&amp;(DateExport-365),Activités!$B$2:$B$3000,"&lt;="&amp;DateExport)</f>
        <v/>
      </c>
      <c r="Y12" s="57" t="inlineStr">
        <is>
          <t>Oui</t>
        </is>
      </c>
      <c r="Z12" s="40" t="inlineStr">
        <is>
          <t>Porte l'harmonisation des étiquettes logistiques entre sites.</t>
        </is>
      </c>
    </row>
    <row r="13" ht="15" customHeight="1" s="34">
      <c r="A13" s="57" t="inlineStr">
        <is>
          <t>C012</t>
        </is>
      </c>
      <c r="B13" s="57" t="inlineStr">
        <is>
          <t>Mme</t>
        </is>
      </c>
      <c r="C13" s="57" t="inlineStr">
        <is>
          <t>Marie-Laure</t>
        </is>
      </c>
      <c r="D13" s="57" t="inlineStr">
        <is>
          <t>Rivière</t>
        </is>
      </c>
      <c r="E13" s="57">
        <f>C13&amp;" "&amp;D13</f>
        <v/>
      </c>
      <c r="F13" s="57" t="inlineStr">
        <is>
          <t>marie-laure.riviere@moet.example</t>
        </is>
      </c>
      <c r="G13" s="57" t="inlineStr">
        <is>
          <t>+33 1 99 00 43 88</t>
        </is>
      </c>
      <c r="H13" s="57" t="inlineStr">
        <is>
          <t>+33 6 39 98 67 29</t>
        </is>
      </c>
      <c r="I13" s="57" t="inlineStr">
        <is>
          <t>Directrice achats matières sèches</t>
        </is>
      </c>
      <c r="J13" s="57" t="inlineStr">
        <is>
          <t>Achats</t>
        </is>
      </c>
      <c r="K13" s="57" t="inlineStr">
        <is>
          <t>Décideur</t>
        </is>
      </c>
      <c r="L13" s="57" t="inlineStr">
        <is>
          <t>Oui</t>
        </is>
      </c>
      <c r="M13" s="57" t="inlineStr">
        <is>
          <t>E008</t>
        </is>
      </c>
      <c r="N13" s="57">
        <f>IFERROR(INDEX(Entreprises!$B$2:$B$3000,MATCH(M13,Entreprises!$A$2:$A$3000,0)),"")</f>
        <v/>
      </c>
      <c r="O13" s="57" t="inlineStr">
        <is>
          <t>U003</t>
        </is>
      </c>
      <c r="P13" s="57">
        <f>IFERROR(INDEX(Commerciaux!$D$2:$D$3000,MATCH(O13,Commerciaux!$A$2:$A$3000,0)),"")</f>
        <v/>
      </c>
      <c r="Q13" s="57" t="inlineStr">
        <is>
          <t>Client</t>
        </is>
      </c>
      <c r="R13" s="57" t="inlineStr">
        <is>
          <t>Connecté</t>
        </is>
      </c>
      <c r="S13" s="57" t="inlineStr">
        <is>
          <t>Salon professionnel</t>
        </is>
      </c>
      <c r="T13" s="57" t="inlineStr">
        <is>
          <t>Visite</t>
        </is>
      </c>
      <c r="U13" s="57" t="inlineStr">
        <is>
          <t>Français</t>
        </is>
      </c>
      <c r="V13" s="58" t="n">
        <v>43640</v>
      </c>
      <c r="W13" s="58">
        <f>IF(COUNTIFS(Activités!$F$2:$F$3000,A13,Activités!$B$2:$B$3000,"&lt;="&amp;DateExport)=0,"",_xlfn.MAXIFS(Activités!$B$2:$B$3000,Activités!$F$2:$F$3000,A13,Activités!$B$2:$B$3000,"&lt;="&amp;DateExport))</f>
        <v/>
      </c>
      <c r="X13" s="60">
        <f>COUNTIFS(Activités!$F$2:$F$3000,A13,Activités!$B$2:$B$3000,"&gt;"&amp;(DateExport-365),Activités!$B$2:$B$3000,"&lt;="&amp;DateExport)</f>
        <v/>
      </c>
      <c r="Y13" s="57" t="inlineStr">
        <is>
          <t>Non</t>
        </is>
      </c>
      <c r="Z13" s="40" t="inlineStr">
        <is>
          <t>Décide avec le marketing sur les projets premium.</t>
        </is>
      </c>
    </row>
    <row r="14" ht="15" customHeight="1" s="34">
      <c r="A14" s="57" t="inlineStr">
        <is>
          <t>C013</t>
        </is>
      </c>
      <c r="B14" s="57" t="inlineStr">
        <is>
          <t>M.</t>
        </is>
      </c>
      <c r="C14" s="57" t="inlineStr">
        <is>
          <t>Bastien</t>
        </is>
      </c>
      <c r="D14" s="57" t="inlineStr">
        <is>
          <t>Collet</t>
        </is>
      </c>
      <c r="E14" s="57">
        <f>C14&amp;" "&amp;D14</f>
        <v/>
      </c>
      <c r="F14" s="57" t="inlineStr">
        <is>
          <t>bastien.collet@moet.example</t>
        </is>
      </c>
      <c r="G14" s="57" t="inlineStr">
        <is>
          <t>+33 1 99 00 46 95</t>
        </is>
      </c>
      <c r="H14" s="57" t="inlineStr">
        <is>
          <t>+33 6 39 98 72 38</t>
        </is>
      </c>
      <c r="I14" s="57" t="inlineStr">
        <is>
          <t>Chef de projet packaging luxe</t>
        </is>
      </c>
      <c r="J14" s="57" t="inlineStr">
        <is>
          <t>Marketing</t>
        </is>
      </c>
      <c r="K14" s="57" t="inlineStr">
        <is>
          <t>Prescripteur</t>
        </is>
      </c>
      <c r="L14" s="57" t="inlineStr">
        <is>
          <t>Oui</t>
        </is>
      </c>
      <c r="M14" s="57" t="inlineStr">
        <is>
          <t>E008</t>
        </is>
      </c>
      <c r="N14" s="57">
        <f>IFERROR(INDEX(Entreprises!$B$2:$B$3000,MATCH(M14,Entreprises!$A$2:$A$3000,0)),"")</f>
        <v/>
      </c>
      <c r="O14" s="57" t="inlineStr">
        <is>
          <t>U003</t>
        </is>
      </c>
      <c r="P14" s="57">
        <f>IFERROR(INDEX(Commerciaux!$D$2:$D$3000,MATCH(O14,Commerciaux!$A$2:$A$3000,0)),"")</f>
        <v/>
      </c>
      <c r="Q14" s="57" t="inlineStr">
        <is>
          <t>Client</t>
        </is>
      </c>
      <c r="R14" s="57" t="inlineStr">
        <is>
          <t>Connecté</t>
        </is>
      </c>
      <c r="S14" s="57" t="inlineStr">
        <is>
          <t>Salon professionnel</t>
        </is>
      </c>
      <c r="T14" s="57" t="inlineStr">
        <is>
          <t>Visite</t>
        </is>
      </c>
      <c r="U14" s="57" t="inlineStr">
        <is>
          <t>Français</t>
        </is>
      </c>
      <c r="V14" s="58" t="n">
        <v>43626</v>
      </c>
      <c r="W14" s="58">
        <f>IF(COUNTIFS(Activités!$F$2:$F$3000,A14,Activités!$B$2:$B$3000,"&lt;="&amp;DateExport)=0,"",_xlfn.MAXIFS(Activités!$B$2:$B$3000,Activités!$F$2:$F$3000,A14,Activités!$B$2:$B$3000,"&lt;="&amp;DateExport))</f>
        <v/>
      </c>
      <c r="X14" s="60">
        <f>COUNTIFS(Activités!$F$2:$F$3000,A14,Activités!$B$2:$B$3000,"&gt;"&amp;(DateExport-365),Activités!$B$2:$B$3000,"&lt;="&amp;DateExport)</f>
        <v/>
      </c>
      <c r="Y14" s="57" t="inlineStr">
        <is>
          <t>Oui</t>
        </is>
      </c>
      <c r="Z14" s="40" t="inlineStr">
        <is>
          <t>Pilote la consultation étuis allégés 2027.</t>
        </is>
      </c>
    </row>
    <row r="15" ht="15" customHeight="1" s="34">
      <c r="A15" s="57" t="inlineStr">
        <is>
          <t>C014</t>
        </is>
      </c>
      <c r="B15" s="57" t="inlineStr">
        <is>
          <t>M.</t>
        </is>
      </c>
      <c r="C15" s="57" t="inlineStr">
        <is>
          <t>Jean-Marc</t>
        </is>
      </c>
      <c r="D15" s="57" t="inlineStr">
        <is>
          <t>Lambert</t>
        </is>
      </c>
      <c r="E15" s="57">
        <f>C15&amp;" "&amp;D15</f>
        <v/>
      </c>
      <c r="F15" s="57" t="inlineStr">
        <is>
          <t>jean-marc.lambert@laurent-perrier.example</t>
        </is>
      </c>
      <c r="G15" s="57" t="inlineStr">
        <is>
          <t>+33 1 99 00 49 15</t>
        </is>
      </c>
      <c r="H15" s="57" t="inlineStr">
        <is>
          <t>+33 6 39 98 77 47</t>
        </is>
      </c>
      <c r="I15" s="57" t="inlineStr">
        <is>
          <t>Responsable achats</t>
        </is>
      </c>
      <c r="J15" s="57" t="inlineStr">
        <is>
          <t>Achats</t>
        </is>
      </c>
      <c r="K15" s="57" t="inlineStr">
        <is>
          <t>Décideur</t>
        </is>
      </c>
      <c r="L15" s="57" t="inlineStr">
        <is>
          <t>Oui</t>
        </is>
      </c>
      <c r="M15" s="57" t="inlineStr">
        <is>
          <t>E009</t>
        </is>
      </c>
      <c r="N15" s="57">
        <f>IFERROR(INDEX(Entreprises!$B$2:$B$3000,MATCH(M15,Entreprises!$A$2:$A$3000,0)),"")</f>
        <v/>
      </c>
      <c r="O15" s="57" t="inlineStr">
        <is>
          <t>U003</t>
        </is>
      </c>
      <c r="P15" s="57">
        <f>IFERROR(INDEX(Commerciaux!$D$2:$D$3000,MATCH(O15,Commerciaux!$A$2:$A$3000,0)),"")</f>
        <v/>
      </c>
      <c r="Q15" s="57" t="inlineStr">
        <is>
          <t>Client</t>
        </is>
      </c>
      <c r="R15" s="57" t="inlineStr">
        <is>
          <t>Connecté</t>
        </is>
      </c>
      <c r="S15" s="57" t="inlineStr">
        <is>
          <t>Recommandation</t>
        </is>
      </c>
      <c r="T15" s="57" t="inlineStr">
        <is>
          <t>Téléphone</t>
        </is>
      </c>
      <c r="U15" s="57" t="inlineStr">
        <is>
          <t>Français</t>
        </is>
      </c>
      <c r="V15" s="58" t="n">
        <v>44329</v>
      </c>
      <c r="W15" s="58">
        <f>IF(COUNTIFS(Activités!$F$2:$F$3000,A15,Activités!$B$2:$B$3000,"&lt;="&amp;DateExport)=0,"",_xlfn.MAXIFS(Activités!$B$2:$B$3000,Activités!$F$2:$F$3000,A15,Activités!$B$2:$B$3000,"&lt;="&amp;DateExport))</f>
        <v/>
      </c>
      <c r="X15" s="60">
        <f>COUNTIFS(Activités!$F$2:$F$3000,A15,Activités!$B$2:$B$3000,"&gt;"&amp;(DateExport-365),Activités!$B$2:$B$3000,"&lt;="&amp;DateExport)</f>
        <v/>
      </c>
      <c r="Y15" s="57" t="inlineStr">
        <is>
          <t>Oui</t>
        </is>
      </c>
      <c r="Z15" s="40" t="inlineStr">
        <is>
          <t>Relation de confiance ancienne.</t>
        </is>
      </c>
    </row>
    <row r="16" ht="15" customHeight="1" s="34">
      <c r="A16" s="57" t="inlineStr">
        <is>
          <t>C015</t>
        </is>
      </c>
      <c r="B16" s="57" t="inlineStr">
        <is>
          <t>Mme</t>
        </is>
      </c>
      <c r="C16" s="57" t="inlineStr">
        <is>
          <t>Pauline</t>
        </is>
      </c>
      <c r="D16" s="57" t="inlineStr">
        <is>
          <t>Henry</t>
        </is>
      </c>
      <c r="E16" s="57">
        <f>C16&amp;" "&amp;D16</f>
        <v/>
      </c>
      <c r="F16" s="57" t="inlineStr">
        <is>
          <t>pauline.henry@laurent-perrier.example</t>
        </is>
      </c>
      <c r="G16" s="57" t="inlineStr">
        <is>
          <t>+33 1 99 00 52 22</t>
        </is>
      </c>
      <c r="H16" s="57" t="inlineStr">
        <is>
          <t>+33 6 39 98 82 56</t>
        </is>
      </c>
      <c r="I16" s="57" t="inlineStr">
        <is>
          <t>Chargée de développement packaging</t>
        </is>
      </c>
      <c r="J16" s="57" t="inlineStr">
        <is>
          <t>Marketing</t>
        </is>
      </c>
      <c r="K16" s="57" t="inlineStr">
        <is>
          <t>Prescripteur</t>
        </is>
      </c>
      <c r="L16" s="57" t="inlineStr">
        <is>
          <t>Non</t>
        </is>
      </c>
      <c r="M16" s="57" t="inlineStr">
        <is>
          <t>E009</t>
        </is>
      </c>
      <c r="N16" s="57">
        <f>IFERROR(INDEX(Entreprises!$B$2:$B$3000,MATCH(M16,Entreprises!$A$2:$A$3000,0)),"")</f>
        <v/>
      </c>
      <c r="O16" s="57" t="inlineStr">
        <is>
          <t>U003</t>
        </is>
      </c>
      <c r="P16" s="57">
        <f>IFERROR(INDEX(Commerciaux!$D$2:$D$3000,MATCH(O16,Commerciaux!$A$2:$A$3000,0)),"")</f>
        <v/>
      </c>
      <c r="Q16" s="57" t="inlineStr">
        <is>
          <t>Client</t>
        </is>
      </c>
      <c r="R16" s="57" t="inlineStr">
        <is>
          <t>Connecté</t>
        </is>
      </c>
      <c r="S16" s="57" t="inlineStr">
        <is>
          <t>Recommandation</t>
        </is>
      </c>
      <c r="T16" s="57" t="inlineStr">
        <is>
          <t>E-mail</t>
        </is>
      </c>
      <c r="U16" s="57" t="inlineStr">
        <is>
          <t>Français</t>
        </is>
      </c>
      <c r="V16" s="58" t="n">
        <v>44299</v>
      </c>
      <c r="W16" s="58">
        <f>IF(COUNTIFS(Activités!$F$2:$F$3000,A16,Activités!$B$2:$B$3000,"&lt;="&amp;DateExport)=0,"",_xlfn.MAXIFS(Activités!$B$2:$B$3000,Activités!$F$2:$F$3000,A16,Activités!$B$2:$B$3000,"&lt;="&amp;DateExport))</f>
        <v/>
      </c>
      <c r="X16" s="60">
        <f>COUNTIFS(Activités!$F$2:$F$3000,A16,Activités!$B$2:$B$3000,"&gt;"&amp;(DateExport-365),Activités!$B$2:$B$3000,"&lt;="&amp;DateExport)</f>
        <v/>
      </c>
      <c r="Y16" s="57" t="inlineStr">
        <is>
          <t>Oui</t>
        </is>
      </c>
      <c r="Z16" s="40" t="inlineStr">
        <is>
          <t>Prépare le brief créatif de la gamme rosé.</t>
        </is>
      </c>
    </row>
    <row r="17" ht="15" customHeight="1" s="34">
      <c r="A17" s="57" t="inlineStr">
        <is>
          <t>C016</t>
        </is>
      </c>
      <c r="B17" s="57" t="inlineStr">
        <is>
          <t>M.</t>
        </is>
      </c>
      <c r="C17" s="57" t="inlineStr">
        <is>
          <t>Damien</t>
        </is>
      </c>
      <c r="D17" s="57" t="inlineStr">
        <is>
          <t>Royer</t>
        </is>
      </c>
      <c r="E17" s="57">
        <f>C17&amp;" "&amp;D17</f>
        <v/>
      </c>
      <c r="F17" s="57" t="inlineStr">
        <is>
          <t>damien.royer@vrankenpommery.example</t>
        </is>
      </c>
      <c r="G17" s="57" t="inlineStr">
        <is>
          <t>+33 1 99 00 55 29</t>
        </is>
      </c>
      <c r="H17" s="57" t="inlineStr">
        <is>
          <t>+33 6 39 98 87 65</t>
        </is>
      </c>
      <c r="I17" s="57" t="inlineStr">
        <is>
          <t>Directeur des opérations</t>
        </is>
      </c>
      <c r="J17" s="57" t="inlineStr">
        <is>
          <t>Opérations</t>
        </is>
      </c>
      <c r="K17" s="57" t="inlineStr">
        <is>
          <t>Décideur</t>
        </is>
      </c>
      <c r="L17" s="57" t="inlineStr">
        <is>
          <t>Oui</t>
        </is>
      </c>
      <c r="M17" s="57" t="inlineStr">
        <is>
          <t>E010</t>
        </is>
      </c>
      <c r="N17" s="57">
        <f>IFERROR(INDEX(Entreprises!$B$2:$B$3000,MATCH(M17,Entreprises!$A$2:$A$3000,0)),"")</f>
        <v/>
      </c>
      <c r="O17" s="57" t="inlineStr">
        <is>
          <t>U003</t>
        </is>
      </c>
      <c r="P17" s="57">
        <f>IFERROR(INDEX(Commerciaux!$D$2:$D$3000,MATCH(O17,Commerciaux!$A$2:$A$3000,0)),"")</f>
        <v/>
      </c>
      <c r="Q17" s="57" t="inlineStr">
        <is>
          <t>Opportunité</t>
        </is>
      </c>
      <c r="R17" s="57" t="inlineStr">
        <is>
          <t>Affaire ouverte</t>
        </is>
      </c>
      <c r="S17" s="57" t="inlineStr">
        <is>
          <t>Salon professionnel</t>
        </is>
      </c>
      <c r="T17" s="57" t="inlineStr">
        <is>
          <t>Visite</t>
        </is>
      </c>
      <c r="U17" s="57" t="inlineStr">
        <is>
          <t>Français</t>
        </is>
      </c>
      <c r="V17" s="58" t="n">
        <v>45908</v>
      </c>
      <c r="W17" s="58">
        <f>IF(COUNTIFS(Activités!$F$2:$F$3000,A17,Activités!$B$2:$B$3000,"&lt;="&amp;DateExport)=0,"",_xlfn.MAXIFS(Activités!$B$2:$B$3000,Activités!$F$2:$F$3000,A17,Activités!$B$2:$B$3000,"&lt;="&amp;DateExport))</f>
        <v/>
      </c>
      <c r="X17" s="60">
        <f>COUNTIFS(Activités!$F$2:$F$3000,A17,Activités!$B$2:$B$3000,"&gt;"&amp;(DateExport-365),Activités!$B$2:$B$3000,"&lt;="&amp;DateExport)</f>
        <v/>
      </c>
      <c r="Y17" s="57" t="inlineStr">
        <is>
          <t>Non</t>
        </is>
      </c>
      <c r="Z17" s="40" t="inlineStr">
        <is>
          <t>Insatisfait de son fournisseur actuel de coffrets.</t>
        </is>
      </c>
    </row>
    <row r="18" ht="15" customHeight="1" s="34">
      <c r="A18" s="57" t="inlineStr">
        <is>
          <t>C017</t>
        </is>
      </c>
      <c r="B18" s="57" t="inlineStr">
        <is>
          <t>M.</t>
        </is>
      </c>
      <c r="C18" s="57" t="inlineStr">
        <is>
          <t>Stéphane</t>
        </is>
      </c>
      <c r="D18" s="57" t="inlineStr">
        <is>
          <t>Klein</t>
        </is>
      </c>
      <c r="E18" s="57">
        <f>C18&amp;" "&amp;D18</f>
        <v/>
      </c>
      <c r="F18" s="57" t="inlineStr">
        <is>
          <t>stephane.klein@kronenbourg.example</t>
        </is>
      </c>
      <c r="G18" s="57" t="inlineStr">
        <is>
          <t>+33 1 99 00 58 36</t>
        </is>
      </c>
      <c r="H18" s="57" t="inlineStr">
        <is>
          <t>+33 6 39 98 92 74</t>
        </is>
      </c>
      <c r="I18" s="57" t="inlineStr">
        <is>
          <t>Responsable achats emballages</t>
        </is>
      </c>
      <c r="J18" s="57" t="inlineStr">
        <is>
          <t>Achats</t>
        </is>
      </c>
      <c r="K18" s="57" t="inlineStr">
        <is>
          <t>Décideur</t>
        </is>
      </c>
      <c r="L18" s="57" t="inlineStr">
        <is>
          <t>Oui</t>
        </is>
      </c>
      <c r="M18" s="57" t="inlineStr">
        <is>
          <t>E011</t>
        </is>
      </c>
      <c r="N18" s="57">
        <f>IFERROR(INDEX(Entreprises!$B$2:$B$3000,MATCH(M18,Entreprises!$A$2:$A$3000,0)),"")</f>
        <v/>
      </c>
      <c r="O18" s="57" t="inlineStr">
        <is>
          <t>U003</t>
        </is>
      </c>
      <c r="P18" s="57">
        <f>IFERROR(INDEX(Commerciaux!$D$2:$D$3000,MATCH(O18,Commerciaux!$A$2:$A$3000,0)),"")</f>
        <v/>
      </c>
      <c r="Q18" s="57" t="inlineStr">
        <is>
          <t>Client</t>
        </is>
      </c>
      <c r="R18" s="57" t="inlineStr">
        <is>
          <t>Connecté</t>
        </is>
      </c>
      <c r="S18" s="57" t="inlineStr">
        <is>
          <t>Prospection terrain</t>
        </is>
      </c>
      <c r="T18" s="57" t="inlineStr">
        <is>
          <t>Visite</t>
        </is>
      </c>
      <c r="U18" s="57" t="inlineStr">
        <is>
          <t>Français</t>
        </is>
      </c>
      <c r="V18" s="58" t="n">
        <v>44018</v>
      </c>
      <c r="W18" s="58">
        <f>IF(COUNTIFS(Activités!$F$2:$F$3000,A18,Activités!$B$2:$B$3000,"&lt;="&amp;DateExport)=0,"",_xlfn.MAXIFS(Activités!$B$2:$B$3000,Activités!$F$2:$F$3000,A18,Activités!$B$2:$B$3000,"&lt;="&amp;DateExport))</f>
        <v/>
      </c>
      <c r="X18" s="60">
        <f>COUNTIFS(Activités!$F$2:$F$3000,A18,Activités!$B$2:$B$3000,"&gt;"&amp;(DateExport-365),Activités!$B$2:$B$3000,"&lt;="&amp;DateExport)</f>
        <v/>
      </c>
      <c r="Y18" s="57" t="inlineStr">
        <is>
          <t>Non</t>
        </is>
      </c>
      <c r="Z18" s="40" t="inlineStr">
        <is>
          <t>A attribué une partie des caisses à un concurrent pour un écart de prix.</t>
        </is>
      </c>
    </row>
    <row r="19" ht="15" customHeight="1" s="34">
      <c r="A19" s="57" t="inlineStr">
        <is>
          <t>C018</t>
        </is>
      </c>
      <c r="B19" s="57" t="inlineStr">
        <is>
          <t>Mme</t>
        </is>
      </c>
      <c r="C19" s="57" t="inlineStr">
        <is>
          <t>Julie</t>
        </is>
      </c>
      <c r="D19" s="57" t="inlineStr">
        <is>
          <t>Schmitt</t>
        </is>
      </c>
      <c r="E19" s="57">
        <f>C19&amp;" "&amp;D19</f>
        <v/>
      </c>
      <c r="F19" s="57" t="inlineStr">
        <is>
          <t>julie.schmitt@kronenbourg.example</t>
        </is>
      </c>
      <c r="G19" s="57" t="inlineStr">
        <is>
          <t>+33 1 99 00 61 43</t>
        </is>
      </c>
      <c r="H19" s="57" t="inlineStr">
        <is>
          <t>+33 6 39 98 12 83</t>
        </is>
      </c>
      <c r="I19" s="57" t="inlineStr">
        <is>
          <t>Responsable maintenance conditionnement</t>
        </is>
      </c>
      <c r="J19" s="57" t="inlineStr">
        <is>
          <t>Maintenance</t>
        </is>
      </c>
      <c r="K19" s="57" t="inlineStr">
        <is>
          <t>Utilisateur</t>
        </is>
      </c>
      <c r="L19" s="57" t="inlineStr">
        <is>
          <t>Non</t>
        </is>
      </c>
      <c r="M19" s="57" t="inlineStr">
        <is>
          <t>E011</t>
        </is>
      </c>
      <c r="N19" s="57">
        <f>IFERROR(INDEX(Entreprises!$B$2:$B$3000,MATCH(M19,Entreprises!$A$2:$A$3000,0)),"")</f>
        <v/>
      </c>
      <c r="O19" s="57" t="inlineStr">
        <is>
          <t>U003</t>
        </is>
      </c>
      <c r="P19" s="57">
        <f>IFERROR(INDEX(Commerciaux!$D$2:$D$3000,MATCH(O19,Commerciaux!$A$2:$A$3000,0)),"")</f>
        <v/>
      </c>
      <c r="Q19" s="57" t="inlineStr">
        <is>
          <t>Client</t>
        </is>
      </c>
      <c r="R19" s="57" t="inlineStr">
        <is>
          <t>Connecté</t>
        </is>
      </c>
      <c r="S19" s="57" t="inlineStr">
        <is>
          <t>Prospection terrain</t>
        </is>
      </c>
      <c r="T19" s="57" t="inlineStr">
        <is>
          <t>Téléphone</t>
        </is>
      </c>
      <c r="U19" s="57" t="inlineStr">
        <is>
          <t>Français</t>
        </is>
      </c>
      <c r="V19" s="58" t="n">
        <v>44063</v>
      </c>
      <c r="W19" s="58">
        <f>IF(COUNTIFS(Activités!$F$2:$F$3000,A19,Activités!$B$2:$B$3000,"&lt;="&amp;DateExport)=0,"",_xlfn.MAXIFS(Activités!$B$2:$B$3000,Activités!$F$2:$F$3000,A19,Activités!$B$2:$B$3000,"&lt;="&amp;DateExport))</f>
        <v/>
      </c>
      <c r="X19" s="60">
        <f>COUNTIFS(Activités!$F$2:$F$3000,A19,Activités!$B$2:$B$3000,"&gt;"&amp;(DateExport-365),Activités!$B$2:$B$3000,"&lt;="&amp;DateExport)</f>
        <v/>
      </c>
      <c r="Y19" s="57" t="inlineStr">
        <is>
          <t>Oui</t>
        </is>
      </c>
      <c r="Z19" s="40" t="inlineStr">
        <is>
          <t>Utilisatrice des étiqueteuses sous contrat de maintenance.</t>
        </is>
      </c>
    </row>
    <row r="20" ht="15" customHeight="1" s="34">
      <c r="A20" s="57" t="inlineStr">
        <is>
          <t>C019</t>
        </is>
      </c>
      <c r="B20" s="57" t="inlineStr">
        <is>
          <t>Mme</t>
        </is>
      </c>
      <c r="C20" s="57" t="inlineStr">
        <is>
          <t>Isabelle</t>
        </is>
      </c>
      <c r="D20" s="57" t="inlineStr">
        <is>
          <t>Roche</t>
        </is>
      </c>
      <c r="E20" s="57">
        <f>C20&amp;" "&amp;D20</f>
        <v/>
      </c>
      <c r="F20" s="57" t="inlineStr">
        <is>
          <t>isabelle.roche@biomerieux.example</t>
        </is>
      </c>
      <c r="G20" s="57" t="inlineStr">
        <is>
          <t>+33 1 99 00 64 50</t>
        </is>
      </c>
      <c r="H20" s="57" t="inlineStr">
        <is>
          <t>+33 6 39 98 17 92</t>
        </is>
      </c>
      <c r="I20" s="57" t="inlineStr">
        <is>
          <t>Acheteuse packaging</t>
        </is>
      </c>
      <c r="J20" s="57" t="inlineStr">
        <is>
          <t>Achats</t>
        </is>
      </c>
      <c r="K20" s="57" t="inlineStr">
        <is>
          <t>Décideur</t>
        </is>
      </c>
      <c r="L20" s="57" t="inlineStr">
        <is>
          <t>Oui</t>
        </is>
      </c>
      <c r="M20" s="57" t="inlineStr">
        <is>
          <t>E012</t>
        </is>
      </c>
      <c r="N20" s="57">
        <f>IFERROR(INDEX(Entreprises!$B$2:$B$3000,MATCH(M20,Entreprises!$A$2:$A$3000,0)),"")</f>
        <v/>
      </c>
      <c r="O20" s="57" t="inlineStr">
        <is>
          <t>U004</t>
        </is>
      </c>
      <c r="P20" s="57">
        <f>IFERROR(INDEX(Commerciaux!$D$2:$D$3000,MATCH(O20,Commerciaux!$A$2:$A$3000,0)),"")</f>
        <v/>
      </c>
      <c r="Q20" s="57" t="inlineStr">
        <is>
          <t>Client</t>
        </is>
      </c>
      <c r="R20" s="57" t="inlineStr">
        <is>
          <t>Connecté</t>
        </is>
      </c>
      <c r="S20" s="57" t="inlineStr">
        <is>
          <t>Recommandation</t>
        </is>
      </c>
      <c r="T20" s="57" t="inlineStr">
        <is>
          <t>Visite</t>
        </is>
      </c>
      <c r="U20" s="57" t="inlineStr">
        <is>
          <t>Français</t>
        </is>
      </c>
      <c r="V20" s="58" t="n">
        <v>44174</v>
      </c>
      <c r="W20" s="58">
        <f>IF(COUNTIFS(Activités!$F$2:$F$3000,A20,Activités!$B$2:$B$3000,"&lt;="&amp;DateExport)=0,"",_xlfn.MAXIFS(Activités!$B$2:$B$3000,Activités!$F$2:$F$3000,A20,Activités!$B$2:$B$3000,"&lt;="&amp;DateExport))</f>
        <v/>
      </c>
      <c r="X20" s="60">
        <f>COUNTIFS(Activités!$F$2:$F$3000,A20,Activités!$B$2:$B$3000,"&gt;"&amp;(DateExport-365),Activités!$B$2:$B$3000,"&lt;="&amp;DateExport)</f>
        <v/>
      </c>
      <c r="Y20" s="57" t="inlineStr">
        <is>
          <t>Oui</t>
        </is>
      </c>
      <c r="Z20" s="40" t="inlineStr">
        <is>
          <t>Gère les commandes d'étuis et d'étiquettes.</t>
        </is>
      </c>
    </row>
    <row r="21" ht="15" customHeight="1" s="34">
      <c r="A21" s="57" t="inlineStr">
        <is>
          <t>C020</t>
        </is>
      </c>
      <c r="B21" s="57" t="inlineStr">
        <is>
          <t>M.</t>
        </is>
      </c>
      <c r="C21" s="57" t="inlineStr">
        <is>
          <t>Mathieu</t>
        </is>
      </c>
      <c r="D21" s="57" t="inlineStr">
        <is>
          <t>Faure</t>
        </is>
      </c>
      <c r="E21" s="57">
        <f>C21&amp;" "&amp;D21</f>
        <v/>
      </c>
      <c r="F21" s="57" t="inlineStr">
        <is>
          <t>mathieu.faure@biomerieux.example</t>
        </is>
      </c>
      <c r="G21" s="57" t="inlineStr">
        <is>
          <t>+33 1 99 00 67 57</t>
        </is>
      </c>
      <c r="H21" s="57" t="inlineStr">
        <is>
          <t>+33 6 39 98 22 18</t>
        </is>
      </c>
      <c r="I21" s="57" t="inlineStr">
        <is>
          <t>Ingénieur sérialisation</t>
        </is>
      </c>
      <c r="J21" s="57" t="inlineStr">
        <is>
          <t>Méthodes industrielles</t>
        </is>
      </c>
      <c r="K21" s="57" t="inlineStr">
        <is>
          <t>Prescripteur</t>
        </is>
      </c>
      <c r="L21" s="57" t="inlineStr">
        <is>
          <t>Oui</t>
        </is>
      </c>
      <c r="M21" s="57" t="inlineStr">
        <is>
          <t>E012</t>
        </is>
      </c>
      <c r="N21" s="57">
        <f>IFERROR(INDEX(Entreprises!$B$2:$B$3000,MATCH(M21,Entreprises!$A$2:$A$3000,0)),"")</f>
        <v/>
      </c>
      <c r="O21" s="57" t="inlineStr">
        <is>
          <t>U004</t>
        </is>
      </c>
      <c r="P21" s="57">
        <f>IFERROR(INDEX(Commerciaux!$D$2:$D$3000,MATCH(O21,Commerciaux!$A$2:$A$3000,0)),"")</f>
        <v/>
      </c>
      <c r="Q21" s="57" t="inlineStr">
        <is>
          <t>Client</t>
        </is>
      </c>
      <c r="R21" s="57" t="inlineStr">
        <is>
          <t>Connecté</t>
        </is>
      </c>
      <c r="S21" s="57" t="inlineStr">
        <is>
          <t>Recommandation</t>
        </is>
      </c>
      <c r="T21" s="57" t="inlineStr">
        <is>
          <t>Visio</t>
        </is>
      </c>
      <c r="U21" s="57" t="inlineStr">
        <is>
          <t>Français</t>
        </is>
      </c>
      <c r="V21" s="58" t="n">
        <v>44173</v>
      </c>
      <c r="W21" s="58">
        <f>IF(COUNTIFS(Activités!$F$2:$F$3000,A21,Activités!$B$2:$B$3000,"&lt;="&amp;DateExport)=0,"",_xlfn.MAXIFS(Activités!$B$2:$B$3000,Activités!$F$2:$F$3000,A21,Activités!$B$2:$B$3000,"&lt;="&amp;DateExport))</f>
        <v/>
      </c>
      <c r="X21" s="60">
        <f>COUNTIFS(Activités!$F$2:$F$3000,A21,Activités!$B$2:$B$3000,"&gt;"&amp;(DateExport-365),Activités!$B$2:$B$3000,"&lt;="&amp;DateExport)</f>
        <v/>
      </c>
      <c r="Y21" s="57" t="inlineStr">
        <is>
          <t>Oui</t>
        </is>
      </c>
      <c r="Z21" s="40" t="inlineStr">
        <is>
          <t>Référent technique du projet de sérialisation export.</t>
        </is>
      </c>
    </row>
    <row r="22" ht="15" customHeight="1" s="34">
      <c r="A22" s="57" t="inlineStr">
        <is>
          <t>C021</t>
        </is>
      </c>
      <c r="B22" s="57" t="inlineStr">
        <is>
          <t>Mme</t>
        </is>
      </c>
      <c r="C22" s="57" t="inlineStr">
        <is>
          <t>Christine</t>
        </is>
      </c>
      <c r="D22" s="57" t="inlineStr">
        <is>
          <t>Blanc</t>
        </is>
      </c>
      <c r="E22" s="57">
        <f>C22&amp;" "&amp;D22</f>
        <v/>
      </c>
      <c r="F22" s="57" t="inlineStr">
        <is>
          <t>christine.blanc@boiron.example</t>
        </is>
      </c>
      <c r="G22" s="57" t="inlineStr">
        <is>
          <t>+33 1 99 00 70 64</t>
        </is>
      </c>
      <c r="H22" s="57" t="inlineStr">
        <is>
          <t>+33 6 39 98 27 27</t>
        </is>
      </c>
      <c r="I22" s="57" t="inlineStr">
        <is>
          <t>Responsable achats</t>
        </is>
      </c>
      <c r="J22" s="57" t="inlineStr">
        <is>
          <t>Achats</t>
        </is>
      </c>
      <c r="K22" s="57" t="inlineStr">
        <is>
          <t>Décideur</t>
        </is>
      </c>
      <c r="L22" s="57" t="inlineStr">
        <is>
          <t>Oui</t>
        </is>
      </c>
      <c r="M22" s="57" t="inlineStr">
        <is>
          <t>E013</t>
        </is>
      </c>
      <c r="N22" s="57">
        <f>IFERROR(INDEX(Entreprises!$B$2:$B$3000,MATCH(M22,Entreprises!$A$2:$A$3000,0)),"")</f>
        <v/>
      </c>
      <c r="O22" s="57" t="inlineStr">
        <is>
          <t>U004</t>
        </is>
      </c>
      <c r="P22" s="57">
        <f>IFERROR(INDEX(Commerciaux!$D$2:$D$3000,MATCH(O22,Commerciaux!$A$2:$A$3000,0)),"")</f>
        <v/>
      </c>
      <c r="Q22" s="57" t="inlineStr">
        <is>
          <t>Client</t>
        </is>
      </c>
      <c r="R22" s="57" t="inlineStr">
        <is>
          <t>Connecté</t>
        </is>
      </c>
      <c r="S22" s="57" t="inlineStr">
        <is>
          <t>Prospection terrain</t>
        </is>
      </c>
      <c r="T22" s="57" t="inlineStr">
        <is>
          <t>Visite</t>
        </is>
      </c>
      <c r="U22" s="57" t="inlineStr">
        <is>
          <t>Français</t>
        </is>
      </c>
      <c r="V22" s="58" t="n">
        <v>43549</v>
      </c>
      <c r="W22" s="58">
        <f>IF(COUNTIFS(Activités!$F$2:$F$3000,A22,Activités!$B$2:$B$3000,"&lt;="&amp;DateExport)=0,"",_xlfn.MAXIFS(Activités!$B$2:$B$3000,Activités!$F$2:$F$3000,A22,Activités!$B$2:$B$3000,"&lt;="&amp;DateExport))</f>
        <v/>
      </c>
      <c r="X22" s="60">
        <f>COUNTIFS(Activités!$F$2:$F$3000,A22,Activités!$B$2:$B$3000,"&gt;"&amp;(DateExport-365),Activités!$B$2:$B$3000,"&lt;="&amp;DateExport)</f>
        <v/>
      </c>
      <c r="Y22" s="57" t="inlineStr">
        <is>
          <t>Oui</t>
        </is>
      </c>
      <c r="Z22" s="40" t="inlineStr">
        <is>
          <t>Négociatrice exigeante sur les prix.</t>
        </is>
      </c>
    </row>
    <row r="23" ht="15" customHeight="1" s="34">
      <c r="A23" s="57" t="inlineStr">
        <is>
          <t>C022</t>
        </is>
      </c>
      <c r="B23" s="57" t="inlineStr">
        <is>
          <t>M.</t>
        </is>
      </c>
      <c r="C23" s="57" t="inlineStr">
        <is>
          <t>Yannick</t>
        </is>
      </c>
      <c r="D23" s="57" t="inlineStr">
        <is>
          <t>Morin</t>
        </is>
      </c>
      <c r="E23" s="57">
        <f>C23&amp;" "&amp;D23</f>
        <v/>
      </c>
      <c r="F23" s="57" t="inlineStr">
        <is>
          <t>yannick.morin@boiron.example</t>
        </is>
      </c>
      <c r="G23" s="57" t="inlineStr">
        <is>
          <t>+33 1 99 00 73 71</t>
        </is>
      </c>
      <c r="H23" s="57" t="inlineStr">
        <is>
          <t>+33 6 39 98 32 36</t>
        </is>
      </c>
      <c r="I23" s="57" t="inlineStr">
        <is>
          <t>Responsable conditionnement</t>
        </is>
      </c>
      <c r="J23" s="57" t="inlineStr">
        <is>
          <t>Production</t>
        </is>
      </c>
      <c r="K23" s="57" t="inlineStr">
        <is>
          <t>Utilisateur</t>
        </is>
      </c>
      <c r="L23" s="57" t="inlineStr">
        <is>
          <t>Non</t>
        </is>
      </c>
      <c r="M23" s="57" t="inlineStr">
        <is>
          <t>E013</t>
        </is>
      </c>
      <c r="N23" s="57">
        <f>IFERROR(INDEX(Entreprises!$B$2:$B$3000,MATCH(M23,Entreprises!$A$2:$A$3000,0)),"")</f>
        <v/>
      </c>
      <c r="O23" s="57" t="inlineStr">
        <is>
          <t>U004</t>
        </is>
      </c>
      <c r="P23" s="57">
        <f>IFERROR(INDEX(Commerciaux!$D$2:$D$3000,MATCH(O23,Commerciaux!$A$2:$A$3000,0)),"")</f>
        <v/>
      </c>
      <c r="Q23" s="57" t="inlineStr">
        <is>
          <t>Client</t>
        </is>
      </c>
      <c r="R23" s="57" t="inlineStr">
        <is>
          <t>Connecté</t>
        </is>
      </c>
      <c r="S23" s="57" t="inlineStr">
        <is>
          <t>Prospection terrain</t>
        </is>
      </c>
      <c r="T23" s="57" t="inlineStr">
        <is>
          <t>Téléphone</t>
        </is>
      </c>
      <c r="U23" s="57" t="inlineStr">
        <is>
          <t>Français</t>
        </is>
      </c>
      <c r="V23" s="58" t="n">
        <v>43549</v>
      </c>
      <c r="W23" s="58">
        <f>IF(COUNTIFS(Activités!$F$2:$F$3000,A23,Activités!$B$2:$B$3000,"&lt;="&amp;DateExport)=0,"",_xlfn.MAXIFS(Activités!$B$2:$B$3000,Activités!$F$2:$F$3000,A23,Activités!$B$2:$B$3000,"&lt;="&amp;DateExport))</f>
        <v/>
      </c>
      <c r="X23" s="60">
        <f>COUNTIFS(Activités!$F$2:$F$3000,A23,Activités!$B$2:$B$3000,"&gt;"&amp;(DateExport-365),Activités!$B$2:$B$3000,"&lt;="&amp;DateExport)</f>
        <v/>
      </c>
      <c r="Y23" s="57" t="inlineStr">
        <is>
          <t>Non</t>
        </is>
      </c>
      <c r="Z23" s="40" t="inlineStr">
        <is>
          <t>Suit les essais de carton recyclé en production.</t>
        </is>
      </c>
    </row>
    <row r="24" ht="15" customHeight="1" s="34">
      <c r="A24" s="57" t="inlineStr">
        <is>
          <t>C023</t>
        </is>
      </c>
      <c r="B24" s="57" t="inlineStr">
        <is>
          <t>Mme</t>
        </is>
      </c>
      <c r="C24" s="57" t="inlineStr">
        <is>
          <t>Émilie</t>
        </is>
      </c>
      <c r="D24" s="57" t="inlineStr">
        <is>
          <t>Gauthier</t>
        </is>
      </c>
      <c r="E24" s="57">
        <f>C24&amp;" "&amp;D24</f>
        <v/>
      </c>
      <c r="F24" s="57" t="inlineStr">
        <is>
          <t>emilie.gauthier@groupeseb.example</t>
        </is>
      </c>
      <c r="G24" s="57" t="inlineStr">
        <is>
          <t>+33 1 99 00 76 78</t>
        </is>
      </c>
      <c r="H24" s="57" t="inlineStr">
        <is>
          <t>+33 6 39 98 37 45</t>
        </is>
      </c>
      <c r="I24" s="57" t="inlineStr">
        <is>
          <t>Responsable éco-conception</t>
        </is>
      </c>
      <c r="J24" s="57" t="inlineStr">
        <is>
          <t>R&amp;D</t>
        </is>
      </c>
      <c r="K24" s="57" t="inlineStr">
        <is>
          <t>Prescripteur</t>
        </is>
      </c>
      <c r="L24" s="57" t="inlineStr">
        <is>
          <t>Oui</t>
        </is>
      </c>
      <c r="M24" s="57" t="inlineStr">
        <is>
          <t>E014</t>
        </is>
      </c>
      <c r="N24" s="57">
        <f>IFERROR(INDEX(Entreprises!$B$2:$B$3000,MATCH(M24,Entreprises!$A$2:$A$3000,0)),"")</f>
        <v/>
      </c>
      <c r="O24" s="57" t="inlineStr">
        <is>
          <t>U004</t>
        </is>
      </c>
      <c r="P24" s="57">
        <f>IFERROR(INDEX(Commerciaux!$D$2:$D$3000,MATCH(O24,Commerciaux!$A$2:$A$3000,0)),"")</f>
        <v/>
      </c>
      <c r="Q24" s="57" t="inlineStr">
        <is>
          <t>Client</t>
        </is>
      </c>
      <c r="R24" s="57" t="inlineStr">
        <is>
          <t>Connecté</t>
        </is>
      </c>
      <c r="S24" s="57" t="inlineStr">
        <is>
          <t>Salon professionnel</t>
        </is>
      </c>
      <c r="T24" s="57" t="inlineStr">
        <is>
          <t>Visio</t>
        </is>
      </c>
      <c r="U24" s="57" t="inlineStr">
        <is>
          <t>Français</t>
        </is>
      </c>
      <c r="V24" s="58" t="n">
        <v>44264</v>
      </c>
      <c r="W24" s="58">
        <f>IF(COUNTIFS(Activités!$F$2:$F$3000,A24,Activités!$B$2:$B$3000,"&lt;="&amp;DateExport)=0,"",_xlfn.MAXIFS(Activités!$B$2:$B$3000,Activités!$F$2:$F$3000,A24,Activités!$B$2:$B$3000,"&lt;="&amp;DateExport))</f>
        <v/>
      </c>
      <c r="X24" s="60">
        <f>COUNTIFS(Activités!$F$2:$F$3000,A24,Activités!$B$2:$B$3000,"&gt;"&amp;(DateExport-365),Activités!$B$2:$B$3000,"&lt;="&amp;DateExport)</f>
        <v/>
      </c>
      <c r="Y24" s="57" t="inlineStr">
        <is>
          <t>Oui</t>
        </is>
      </c>
      <c r="Z24" s="40" t="inlineStr">
        <is>
          <t>Porte la suppression du polystyrène.</t>
        </is>
      </c>
    </row>
    <row r="25" ht="15" customHeight="1" s="34">
      <c r="A25" s="57" t="inlineStr">
        <is>
          <t>C024</t>
        </is>
      </c>
      <c r="B25" s="57" t="inlineStr">
        <is>
          <t>M.</t>
        </is>
      </c>
      <c r="C25" s="57" t="inlineStr">
        <is>
          <t>Laurent</t>
        </is>
      </c>
      <c r="D25" s="57" t="inlineStr">
        <is>
          <t>Mercier</t>
        </is>
      </c>
      <c r="E25" s="57">
        <f>C25&amp;" "&amp;D25</f>
        <v/>
      </c>
      <c r="F25" s="57" t="inlineStr">
        <is>
          <t>laurent.mercier@groupeseb.example</t>
        </is>
      </c>
      <c r="G25" s="57" t="inlineStr">
        <is>
          <t>+33 1 99 00 79 85</t>
        </is>
      </c>
      <c r="H25" s="57" t="inlineStr">
        <is>
          <t>+33 6 39 98 42 54</t>
        </is>
      </c>
      <c r="I25" s="57" t="inlineStr">
        <is>
          <t>Acheteur emballages</t>
        </is>
      </c>
      <c r="J25" s="57" t="inlineStr">
        <is>
          <t>Achats</t>
        </is>
      </c>
      <c r="K25" s="57" t="inlineStr">
        <is>
          <t>Décideur</t>
        </is>
      </c>
      <c r="L25" s="57" t="inlineStr">
        <is>
          <t>Oui</t>
        </is>
      </c>
      <c r="M25" s="57" t="inlineStr">
        <is>
          <t>E014</t>
        </is>
      </c>
      <c r="N25" s="57">
        <f>IFERROR(INDEX(Entreprises!$B$2:$B$3000,MATCH(M25,Entreprises!$A$2:$A$3000,0)),"")</f>
        <v/>
      </c>
      <c r="O25" s="57" t="inlineStr">
        <is>
          <t>U004</t>
        </is>
      </c>
      <c r="P25" s="57">
        <f>IFERROR(INDEX(Commerciaux!$D$2:$D$3000,MATCH(O25,Commerciaux!$A$2:$A$3000,0)),"")</f>
        <v/>
      </c>
      <c r="Q25" s="57" t="inlineStr">
        <is>
          <t>Client</t>
        </is>
      </c>
      <c r="R25" s="57" t="inlineStr">
        <is>
          <t>Connecté</t>
        </is>
      </c>
      <c r="S25" s="57" t="inlineStr">
        <is>
          <t>Salon professionnel</t>
        </is>
      </c>
      <c r="T25" s="57" t="inlineStr">
        <is>
          <t>Visite</t>
        </is>
      </c>
      <c r="U25" s="57" t="inlineStr">
        <is>
          <t>Français</t>
        </is>
      </c>
      <c r="V25" s="58" t="n">
        <v>44259</v>
      </c>
      <c r="W25" s="58">
        <f>IF(COUNTIFS(Activités!$F$2:$F$3000,A25,Activités!$B$2:$B$3000,"&lt;="&amp;DateExport)=0,"",_xlfn.MAXIFS(Activités!$B$2:$B$3000,Activités!$F$2:$F$3000,A25,Activités!$B$2:$B$3000,"&lt;="&amp;DateExport))</f>
        <v/>
      </c>
      <c r="X25" s="60">
        <f>COUNTIFS(Activités!$F$2:$F$3000,A25,Activités!$B$2:$B$3000,"&gt;"&amp;(DateExport-365),Activités!$B$2:$B$3000,"&lt;="&amp;DateExport)</f>
        <v/>
      </c>
      <c r="Y25" s="57" t="inlineStr">
        <is>
          <t>Oui</t>
        </is>
      </c>
      <c r="Z25" s="40" t="inlineStr">
        <is>
          <t>Négocie le devis d'industrialisation.</t>
        </is>
      </c>
    </row>
    <row r="26" ht="15" customHeight="1" s="34">
      <c r="A26" s="57" t="inlineStr">
        <is>
          <t>C025</t>
        </is>
      </c>
      <c r="B26" s="57" t="inlineStr">
        <is>
          <t>M.</t>
        </is>
      </c>
      <c r="C26" s="57" t="inlineStr">
        <is>
          <t>Fabien</t>
        </is>
      </c>
      <c r="D26" s="57" t="inlineStr">
        <is>
          <t>Rey</t>
        </is>
      </c>
      <c r="E26" s="57">
        <f>C26&amp;" "&amp;D26</f>
        <v/>
      </c>
      <c r="F26" s="57" t="inlineStr">
        <is>
          <t>fabien.rey@vicat.example</t>
        </is>
      </c>
      <c r="G26" s="57" t="inlineStr">
        <is>
          <t>+33 1 99 00 82 92</t>
        </is>
      </c>
      <c r="H26" s="57" t="inlineStr">
        <is>
          <t>+33 6 39 98 47 63</t>
        </is>
      </c>
      <c r="I26" s="57" t="inlineStr">
        <is>
          <t>Responsable logistique</t>
        </is>
      </c>
      <c r="J26" s="57" t="inlineStr">
        <is>
          <t>Logistique</t>
        </is>
      </c>
      <c r="K26" s="57" t="inlineStr">
        <is>
          <t>Influenceur</t>
        </is>
      </c>
      <c r="L26" s="57" t="inlineStr">
        <is>
          <t>Oui</t>
        </is>
      </c>
      <c r="M26" s="57" t="inlineStr">
        <is>
          <t>E015</t>
        </is>
      </c>
      <c r="N26" s="57">
        <f>IFERROR(INDEX(Entreprises!$B$2:$B$3000,MATCH(M26,Entreprises!$A$2:$A$3000,0)),"")</f>
        <v/>
      </c>
      <c r="O26" s="57" t="inlineStr">
        <is>
          <t>U004</t>
        </is>
      </c>
      <c r="P26" s="57">
        <f>IFERROR(INDEX(Commerciaux!$D$2:$D$3000,MATCH(O26,Commerciaux!$A$2:$A$3000,0)),"")</f>
        <v/>
      </c>
      <c r="Q26" s="57" t="inlineStr">
        <is>
          <t>Prospect</t>
        </is>
      </c>
      <c r="R26" s="57" t="inlineStr">
        <is>
          <t>Tentative de contact</t>
        </is>
      </c>
      <c r="S26" s="57" t="inlineStr">
        <is>
          <t>Événement / webinaire</t>
        </is>
      </c>
      <c r="T26" s="57" t="inlineStr">
        <is>
          <t>Téléphone</t>
        </is>
      </c>
      <c r="U26" s="57" t="inlineStr">
        <is>
          <t>Français</t>
        </is>
      </c>
      <c r="V26" s="58" t="n">
        <v>46272</v>
      </c>
      <c r="W26" s="58">
        <f>IF(COUNTIFS(Activités!$F$2:$F$3000,A26,Activités!$B$2:$B$3000,"&lt;="&amp;DateExport)=0,"",_xlfn.MAXIFS(Activités!$B$2:$B$3000,Activités!$F$2:$F$3000,A26,Activités!$B$2:$B$3000,"&lt;="&amp;DateExport))</f>
        <v/>
      </c>
      <c r="X26" s="60">
        <f>COUNTIFS(Activités!$F$2:$F$3000,A26,Activités!$B$2:$B$3000,"&gt;"&amp;(DateExport-365),Activités!$B$2:$B$3000,"&lt;="&amp;DateExport)</f>
        <v/>
      </c>
      <c r="Y26" s="57" t="inlineStr">
        <is>
          <t>Non</t>
        </is>
      </c>
      <c r="Z26" s="40" t="inlineStr">
        <is>
          <t>Inscrit au webinaire sur l'étiquetage logistique.</t>
        </is>
      </c>
    </row>
    <row r="27" ht="15" customHeight="1" s="34">
      <c r="A27" s="57" t="inlineStr">
        <is>
          <t>C026</t>
        </is>
      </c>
      <c r="B27" s="57" t="inlineStr">
        <is>
          <t>Mme</t>
        </is>
      </c>
      <c r="C27" s="57" t="inlineStr">
        <is>
          <t>Anaïs</t>
        </is>
      </c>
      <c r="D27" s="57" t="inlineStr">
        <is>
          <t>Lopez</t>
        </is>
      </c>
      <c r="E27" s="57">
        <f>C27&amp;" "&amp;D27</f>
        <v/>
      </c>
      <c r="F27" s="57" t="inlineStr">
        <is>
          <t>anais.lopez@virbac.example</t>
        </is>
      </c>
      <c r="G27" s="57" t="inlineStr">
        <is>
          <t>+33 1 99 00 85 12</t>
        </is>
      </c>
      <c r="H27" s="57" t="inlineStr">
        <is>
          <t>+33 6 39 98 52 72</t>
        </is>
      </c>
      <c r="I27" s="57" t="inlineStr">
        <is>
          <t>Responsable projet industriel</t>
        </is>
      </c>
      <c r="J27" s="57" t="inlineStr">
        <is>
          <t>Industrie</t>
        </is>
      </c>
      <c r="K27" s="57" t="inlineStr">
        <is>
          <t>Décideur</t>
        </is>
      </c>
      <c r="L27" s="57" t="inlineStr">
        <is>
          <t>Oui</t>
        </is>
      </c>
      <c r="M27" s="57" t="inlineStr">
        <is>
          <t>E016</t>
        </is>
      </c>
      <c r="N27" s="57">
        <f>IFERROR(INDEX(Entreprises!$B$2:$B$3000,MATCH(M27,Entreprises!$A$2:$A$3000,0)),"")</f>
        <v/>
      </c>
      <c r="O27" s="57" t="inlineStr">
        <is>
          <t>U004</t>
        </is>
      </c>
      <c r="P27" s="57">
        <f>IFERROR(INDEX(Commerciaux!$D$2:$D$3000,MATCH(O27,Commerciaux!$A$2:$A$3000,0)),"")</f>
        <v/>
      </c>
      <c r="Q27" s="57" t="inlineStr">
        <is>
          <t>Opportunité</t>
        </is>
      </c>
      <c r="R27" s="57" t="inlineStr">
        <is>
          <t>Affaire ouverte</t>
        </is>
      </c>
      <c r="S27" s="57" t="inlineStr">
        <is>
          <t>Recommandation</t>
        </is>
      </c>
      <c r="T27" s="57" t="inlineStr">
        <is>
          <t>Visite</t>
        </is>
      </c>
      <c r="U27" s="57" t="inlineStr">
        <is>
          <t>Français</t>
        </is>
      </c>
      <c r="V27" s="58" t="n">
        <v>45994</v>
      </c>
      <c r="W27" s="58">
        <f>IF(COUNTIFS(Activités!$F$2:$F$3000,A27,Activités!$B$2:$B$3000,"&lt;="&amp;DateExport)=0,"",_xlfn.MAXIFS(Activités!$B$2:$B$3000,Activités!$F$2:$F$3000,A27,Activités!$B$2:$B$3000,"&lt;="&amp;DateExport))</f>
        <v/>
      </c>
      <c r="X27" s="60">
        <f>COUNTIFS(Activités!$F$2:$F$3000,A27,Activités!$B$2:$B$3000,"&gt;"&amp;(DateExport-365),Activités!$B$2:$B$3000,"&lt;="&amp;DateExport)</f>
        <v/>
      </c>
      <c r="Y27" s="57" t="inlineStr">
        <is>
          <t>Oui</t>
        </is>
      </c>
      <c r="Z27" s="40" t="inlineStr">
        <is>
          <t>Pilote la nouvelle ligne de conditionnement.</t>
        </is>
      </c>
    </row>
    <row r="28" ht="15" customHeight="1" s="34">
      <c r="A28" s="57" t="inlineStr">
        <is>
          <t>C027</t>
        </is>
      </c>
      <c r="B28" s="57" t="inlineStr">
        <is>
          <t>Mme</t>
        </is>
      </c>
      <c r="C28" s="57" t="inlineStr">
        <is>
          <t>Céline</t>
        </is>
      </c>
      <c r="D28" s="57" t="inlineStr">
        <is>
          <t>Barbier</t>
        </is>
      </c>
      <c r="E28" s="57">
        <f>C28&amp;" "&amp;D28</f>
        <v/>
      </c>
      <c r="F28" s="57" t="inlineStr">
        <is>
          <t>celine.barbier@remy-cointreau.example</t>
        </is>
      </c>
      <c r="G28" s="57" t="inlineStr">
        <is>
          <t>+33 1 99 00 88 19</t>
        </is>
      </c>
      <c r="H28" s="57" t="inlineStr">
        <is>
          <t>+33 6 39 98 57 81</t>
        </is>
      </c>
      <c r="I28" s="57" t="inlineStr">
        <is>
          <t>Directrice achats matières sèches</t>
        </is>
      </c>
      <c r="J28" s="57" t="inlineStr">
        <is>
          <t>Achats</t>
        </is>
      </c>
      <c r="K28" s="57" t="inlineStr">
        <is>
          <t>Décideur</t>
        </is>
      </c>
      <c r="L28" s="57" t="inlineStr">
        <is>
          <t>Oui</t>
        </is>
      </c>
      <c r="M28" s="57" t="inlineStr">
        <is>
          <t>E017</t>
        </is>
      </c>
      <c r="N28" s="57">
        <f>IFERROR(INDEX(Entreprises!$B$2:$B$3000,MATCH(M28,Entreprises!$A$2:$A$3000,0)),"")</f>
        <v/>
      </c>
      <c r="O28" s="57" t="inlineStr">
        <is>
          <t>U005</t>
        </is>
      </c>
      <c r="P28" s="57">
        <f>IFERROR(INDEX(Commerciaux!$D$2:$D$3000,MATCH(O28,Commerciaux!$A$2:$A$3000,0)),"")</f>
        <v/>
      </c>
      <c r="Q28" s="57" t="inlineStr">
        <is>
          <t>Client</t>
        </is>
      </c>
      <c r="R28" s="57" t="inlineStr">
        <is>
          <t>Connecté</t>
        </is>
      </c>
      <c r="S28" s="57" t="inlineStr">
        <is>
          <t>Salon professionnel</t>
        </is>
      </c>
      <c r="T28" s="57" t="inlineStr">
        <is>
          <t>Visite</t>
        </is>
      </c>
      <c r="U28" s="57" t="inlineStr">
        <is>
          <t>Français</t>
        </is>
      </c>
      <c r="V28" s="58" t="n">
        <v>44179</v>
      </c>
      <c r="W28" s="58">
        <f>IF(COUNTIFS(Activités!$F$2:$F$3000,A28,Activités!$B$2:$B$3000,"&lt;="&amp;DateExport)=0,"",_xlfn.MAXIFS(Activités!$B$2:$B$3000,Activités!$F$2:$F$3000,A28,Activités!$B$2:$B$3000,"&lt;="&amp;DateExport))</f>
        <v/>
      </c>
      <c r="X28" s="60">
        <f>COUNTIFS(Activités!$F$2:$F$3000,A28,Activités!$B$2:$B$3000,"&gt;"&amp;(DateExport-365),Activités!$B$2:$B$3000,"&lt;="&amp;DateExport)</f>
        <v/>
      </c>
      <c r="Y28" s="57" t="inlineStr">
        <is>
          <t>Oui</t>
        </is>
      </c>
      <c r="Z28" s="40" t="inlineStr">
        <is>
          <t>Souhaite réserver des capacités pour l'été 2027.</t>
        </is>
      </c>
    </row>
    <row r="29" ht="15" customHeight="1" s="34">
      <c r="A29" s="57" t="inlineStr">
        <is>
          <t>C028</t>
        </is>
      </c>
      <c r="B29" s="57" t="inlineStr">
        <is>
          <t>M.</t>
        </is>
      </c>
      <c r="C29" s="57" t="inlineStr">
        <is>
          <t>Romain</t>
        </is>
      </c>
      <c r="D29" s="57" t="inlineStr">
        <is>
          <t>Arnaud</t>
        </is>
      </c>
      <c r="E29" s="57">
        <f>C29&amp;" "&amp;D29</f>
        <v/>
      </c>
      <c r="F29" s="57" t="inlineStr">
        <is>
          <t>romain.arnaud@remy-cointreau.example</t>
        </is>
      </c>
      <c r="G29" s="57" t="inlineStr">
        <is>
          <t>+33 1 99 00 91 26</t>
        </is>
      </c>
      <c r="H29" s="57" t="inlineStr">
        <is>
          <t>+33 6 39 98 62 90</t>
        </is>
      </c>
      <c r="I29" s="57" t="inlineStr">
        <is>
          <t>Chef de projet packaging</t>
        </is>
      </c>
      <c r="J29" s="57" t="inlineStr">
        <is>
          <t>Marketing</t>
        </is>
      </c>
      <c r="K29" s="57" t="inlineStr">
        <is>
          <t>Prescripteur</t>
        </is>
      </c>
      <c r="L29" s="57" t="inlineStr">
        <is>
          <t>Non</t>
        </is>
      </c>
      <c r="M29" s="57" t="inlineStr">
        <is>
          <t>E017</t>
        </is>
      </c>
      <c r="N29" s="57">
        <f>IFERROR(INDEX(Entreprises!$B$2:$B$3000,MATCH(M29,Entreprises!$A$2:$A$3000,0)),"")</f>
        <v/>
      </c>
      <c r="O29" s="57" t="inlineStr">
        <is>
          <t>U005</t>
        </is>
      </c>
      <c r="P29" s="57">
        <f>IFERROR(INDEX(Commerciaux!$D$2:$D$3000,MATCH(O29,Commerciaux!$A$2:$A$3000,0)),"")</f>
        <v/>
      </c>
      <c r="Q29" s="57" t="inlineStr">
        <is>
          <t>Client</t>
        </is>
      </c>
      <c r="R29" s="57" t="inlineStr">
        <is>
          <t>Connecté</t>
        </is>
      </c>
      <c r="S29" s="57" t="inlineStr">
        <is>
          <t>Salon professionnel</t>
        </is>
      </c>
      <c r="T29" s="57" t="inlineStr">
        <is>
          <t>E-mail</t>
        </is>
      </c>
      <c r="U29" s="57" t="inlineStr">
        <is>
          <t>Français</t>
        </is>
      </c>
      <c r="V29" s="58" t="n">
        <v>44158</v>
      </c>
      <c r="W29" s="58">
        <f>IF(COUNTIFS(Activités!$F$2:$F$3000,A29,Activités!$B$2:$B$3000,"&lt;="&amp;DateExport)=0,"",_xlfn.MAXIFS(Activités!$B$2:$B$3000,Activités!$F$2:$F$3000,A29,Activités!$B$2:$B$3000,"&lt;="&amp;DateExport))</f>
        <v/>
      </c>
      <c r="X29" s="60">
        <f>COUNTIFS(Activités!$F$2:$F$3000,A29,Activités!$B$2:$B$3000,"&gt;"&amp;(DateExport-365),Activités!$B$2:$B$3000,"&lt;="&amp;DateExport)</f>
        <v/>
      </c>
      <c r="Y29" s="57" t="inlineStr">
        <is>
          <t>Oui</t>
        </is>
      </c>
      <c r="Z29" s="40" t="inlineStr">
        <is>
          <t>Pilote le concept de coffret réutilisable.</t>
        </is>
      </c>
    </row>
    <row r="30" ht="15" customHeight="1" s="34">
      <c r="A30" s="57" t="inlineStr">
        <is>
          <t>C029</t>
        </is>
      </c>
      <c r="B30" s="57" t="inlineStr">
        <is>
          <t>M.</t>
        </is>
      </c>
      <c r="C30" s="57" t="inlineStr">
        <is>
          <t>Guillaume</t>
        </is>
      </c>
      <c r="D30" s="57" t="inlineStr">
        <is>
          <t>Petit</t>
        </is>
      </c>
      <c r="E30" s="57">
        <f>C30&amp;" "&amp;D30</f>
        <v/>
      </c>
      <c r="F30" s="57" t="inlineStr">
        <is>
          <t>guillaume.petit@maisonferrand.example</t>
        </is>
      </c>
      <c r="G30" s="57" t="inlineStr">
        <is>
          <t>+33 1 99 00 94 33</t>
        </is>
      </c>
      <c r="H30" s="57" t="inlineStr">
        <is>
          <t>+33 6 39 98 67 16</t>
        </is>
      </c>
      <c r="I30" s="57" t="inlineStr">
        <is>
          <t>Directeur de production</t>
        </is>
      </c>
      <c r="J30" s="57" t="inlineStr">
        <is>
          <t>Production</t>
        </is>
      </c>
      <c r="K30" s="57" t="inlineStr">
        <is>
          <t>Décideur</t>
        </is>
      </c>
      <c r="L30" s="57" t="inlineStr">
        <is>
          <t>Oui</t>
        </is>
      </c>
      <c r="M30" s="57" t="inlineStr">
        <is>
          <t>E018</t>
        </is>
      </c>
      <c r="N30" s="57">
        <f>IFERROR(INDEX(Entreprises!$B$2:$B$3000,MATCH(M30,Entreprises!$A$2:$A$3000,0)),"")</f>
        <v/>
      </c>
      <c r="O30" s="57" t="inlineStr">
        <is>
          <t>U005</t>
        </is>
      </c>
      <c r="P30" s="57">
        <f>IFERROR(INDEX(Commerciaux!$D$2:$D$3000,MATCH(O30,Commerciaux!$A$2:$A$3000,0)),"")</f>
        <v/>
      </c>
      <c r="Q30" s="57" t="inlineStr">
        <is>
          <t>Client</t>
        </is>
      </c>
      <c r="R30" s="57" t="inlineStr">
        <is>
          <t>Connecté</t>
        </is>
      </c>
      <c r="S30" s="57" t="inlineStr">
        <is>
          <t>Recommandation</t>
        </is>
      </c>
      <c r="T30" s="57" t="inlineStr">
        <is>
          <t>Téléphone</t>
        </is>
      </c>
      <c r="U30" s="57" t="inlineStr">
        <is>
          <t>Français</t>
        </is>
      </c>
      <c r="V30" s="58" t="n">
        <v>44704</v>
      </c>
      <c r="W30" s="58">
        <f>IF(COUNTIFS(Activités!$F$2:$F$3000,A30,Activités!$B$2:$B$3000,"&lt;="&amp;DateExport)=0,"",_xlfn.MAXIFS(Activités!$B$2:$B$3000,Activités!$F$2:$F$3000,A30,Activités!$B$2:$B$3000,"&lt;="&amp;DateExport))</f>
        <v/>
      </c>
      <c r="X30" s="60">
        <f>COUNTIFS(Activités!$F$2:$F$3000,A30,Activités!$B$2:$B$3000,"&gt;"&amp;(DateExport-365),Activités!$B$2:$B$3000,"&lt;="&amp;DateExport)</f>
        <v/>
      </c>
      <c r="Y30" s="57" t="inlineStr">
        <is>
          <t>Oui</t>
        </is>
      </c>
      <c r="Z30" s="40" t="inlineStr">
        <is>
          <t>Interlocuteur unique, décide vite.</t>
        </is>
      </c>
    </row>
    <row r="31" ht="15" customHeight="1" s="34">
      <c r="A31" s="57" t="inlineStr">
        <is>
          <t>C030</t>
        </is>
      </c>
      <c r="B31" s="57" t="inlineStr">
        <is>
          <t>Mme</t>
        </is>
      </c>
      <c r="C31" s="57" t="inlineStr">
        <is>
          <t>Sandrine</t>
        </is>
      </c>
      <c r="D31" s="57" t="inlineStr">
        <is>
          <t>Delmas</t>
        </is>
      </c>
      <c r="E31" s="57">
        <f>C31&amp;" "&amp;D31</f>
        <v/>
      </c>
      <c r="F31" s="57" t="inlineStr">
        <is>
          <t>sandrine.delmas@pierre-fabre.example</t>
        </is>
      </c>
      <c r="G31" s="57" t="inlineStr">
        <is>
          <t>+33 1 99 00 97 40</t>
        </is>
      </c>
      <c r="H31" s="57" t="inlineStr">
        <is>
          <t>+33 6 39 98 72 25</t>
        </is>
      </c>
      <c r="I31" s="57" t="inlineStr">
        <is>
          <t>Responsable achats articles de conditionnement</t>
        </is>
      </c>
      <c r="J31" s="57" t="inlineStr">
        <is>
          <t>Achats</t>
        </is>
      </c>
      <c r="K31" s="57" t="inlineStr">
        <is>
          <t>Décideur</t>
        </is>
      </c>
      <c r="L31" s="57" t="inlineStr">
        <is>
          <t>Oui</t>
        </is>
      </c>
      <c r="M31" s="57" t="inlineStr">
        <is>
          <t>E019</t>
        </is>
      </c>
      <c r="N31" s="57">
        <f>IFERROR(INDEX(Entreprises!$B$2:$B$3000,MATCH(M31,Entreprises!$A$2:$A$3000,0)),"")</f>
        <v/>
      </c>
      <c r="O31" s="57" t="inlineStr">
        <is>
          <t>U005</t>
        </is>
      </c>
      <c r="P31" s="57">
        <f>IFERROR(INDEX(Commerciaux!$D$2:$D$3000,MATCH(O31,Commerciaux!$A$2:$A$3000,0)),"")</f>
        <v/>
      </c>
      <c r="Q31" s="57" t="inlineStr">
        <is>
          <t>Client</t>
        </is>
      </c>
      <c r="R31" s="57" t="inlineStr">
        <is>
          <t>Connecté</t>
        </is>
      </c>
      <c r="S31" s="57" t="inlineStr">
        <is>
          <t>Prospection terrain</t>
        </is>
      </c>
      <c r="T31" s="57" t="inlineStr">
        <is>
          <t>Visite</t>
        </is>
      </c>
      <c r="U31" s="57" t="inlineStr">
        <is>
          <t>Français</t>
        </is>
      </c>
      <c r="V31" s="58" t="n">
        <v>44421</v>
      </c>
      <c r="W31" s="58">
        <f>IF(COUNTIFS(Activités!$F$2:$F$3000,A31,Activités!$B$2:$B$3000,"&lt;="&amp;DateExport)=0,"",_xlfn.MAXIFS(Activités!$B$2:$B$3000,Activités!$F$2:$F$3000,A31,Activités!$B$2:$B$3000,"&lt;="&amp;DateExport))</f>
        <v/>
      </c>
      <c r="X31" s="60">
        <f>COUNTIFS(Activités!$F$2:$F$3000,A31,Activités!$B$2:$B$3000,"&gt;"&amp;(DateExport-365),Activités!$B$2:$B$3000,"&lt;="&amp;DateExport)</f>
        <v/>
      </c>
      <c r="Y31" s="57" t="inlineStr">
        <is>
          <t>Non</t>
        </is>
      </c>
      <c r="Z31" s="40" t="inlineStr">
        <is>
          <t>Contrat étuis à renouveler en janvier 2027.</t>
        </is>
      </c>
    </row>
    <row r="32" ht="15" customHeight="1" s="34">
      <c r="A32" s="57" t="inlineStr">
        <is>
          <t>C031</t>
        </is>
      </c>
      <c r="B32" s="57" t="inlineStr">
        <is>
          <t>M.</t>
        </is>
      </c>
      <c r="C32" s="57" t="inlineStr">
        <is>
          <t>Benoît</t>
        </is>
      </c>
      <c r="D32" s="57" t="inlineStr">
        <is>
          <t>Carrière</t>
        </is>
      </c>
      <c r="E32" s="57">
        <f>C32&amp;" "&amp;D32</f>
        <v/>
      </c>
      <c r="F32" s="57" t="inlineStr">
        <is>
          <t>benoit.carriere@pierre-fabre.example</t>
        </is>
      </c>
      <c r="G32" s="57" t="inlineStr">
        <is>
          <t>+33 1 99 00 11 47</t>
        </is>
      </c>
      <c r="H32" s="57" t="inlineStr">
        <is>
          <t>+33 6 39 98 77 34</t>
        </is>
      </c>
      <c r="I32" s="57" t="inlineStr">
        <is>
          <t>Responsable qualité fournisseurs</t>
        </is>
      </c>
      <c r="J32" s="57" t="inlineStr">
        <is>
          <t>Qualité</t>
        </is>
      </c>
      <c r="K32" s="57" t="inlineStr">
        <is>
          <t>Influenceur</t>
        </is>
      </c>
      <c r="L32" s="57" t="inlineStr">
        <is>
          <t>Oui</t>
        </is>
      </c>
      <c r="M32" s="57" t="inlineStr">
        <is>
          <t>E019</t>
        </is>
      </c>
      <c r="N32" s="57">
        <f>IFERROR(INDEX(Entreprises!$B$2:$B$3000,MATCH(M32,Entreprises!$A$2:$A$3000,0)),"")</f>
        <v/>
      </c>
      <c r="O32" s="57" t="inlineStr">
        <is>
          <t>U005</t>
        </is>
      </c>
      <c r="P32" s="57">
        <f>IFERROR(INDEX(Commerciaux!$D$2:$D$3000,MATCH(O32,Commerciaux!$A$2:$A$3000,0)),"")</f>
        <v/>
      </c>
      <c r="Q32" s="57" t="inlineStr">
        <is>
          <t>Client</t>
        </is>
      </c>
      <c r="R32" s="57" t="inlineStr">
        <is>
          <t>Connecté</t>
        </is>
      </c>
      <c r="S32" s="57" t="inlineStr">
        <is>
          <t>Prospection terrain</t>
        </is>
      </c>
      <c r="T32" s="57" t="inlineStr">
        <is>
          <t>E-mail</t>
        </is>
      </c>
      <c r="U32" s="57" t="inlineStr">
        <is>
          <t>Français</t>
        </is>
      </c>
      <c r="V32" s="58" t="n">
        <v>44445</v>
      </c>
      <c r="W32" s="58">
        <f>IF(COUNTIFS(Activités!$F$2:$F$3000,A32,Activités!$B$2:$B$3000,"&lt;="&amp;DateExport)=0,"",_xlfn.MAXIFS(Activités!$B$2:$B$3000,Activités!$F$2:$F$3000,A32,Activités!$B$2:$B$3000,"&lt;="&amp;DateExport))</f>
        <v/>
      </c>
      <c r="X32" s="60">
        <f>COUNTIFS(Activités!$F$2:$F$3000,A32,Activités!$B$2:$B$3000,"&gt;"&amp;(DateExport-365),Activités!$B$2:$B$3000,"&lt;="&amp;DateExport)</f>
        <v/>
      </c>
      <c r="Y32" s="57" t="inlineStr">
        <is>
          <t>Non</t>
        </is>
      </c>
      <c r="Z32" s="40" t="inlineStr">
        <is>
          <t>Suit le ticket sur le défaut de pliage.</t>
        </is>
      </c>
    </row>
    <row r="33" ht="15" customHeight="1" s="34">
      <c r="A33" s="57" t="inlineStr">
        <is>
          <t>C032</t>
        </is>
      </c>
      <c r="B33" s="57" t="inlineStr">
        <is>
          <t>M.</t>
        </is>
      </c>
      <c r="C33" s="57" t="inlineStr">
        <is>
          <t>Cédric</t>
        </is>
      </c>
      <c r="D33" s="57" t="inlineStr">
        <is>
          <t>Vidal</t>
        </is>
      </c>
      <c r="E33" s="57">
        <f>C33&amp;" "&amp;D33</f>
        <v/>
      </c>
      <c r="F33" s="57" t="inlineStr">
        <is>
          <t>cedric.vidal@andros.example</t>
        </is>
      </c>
      <c r="G33" s="57" t="inlineStr">
        <is>
          <t>+33 1 99 00 14 54</t>
        </is>
      </c>
      <c r="H33" s="57" t="inlineStr">
        <is>
          <t>+33 6 39 98 82 43</t>
        </is>
      </c>
      <c r="I33" s="57" t="inlineStr">
        <is>
          <t>Chef de projet nouvelle gamme</t>
        </is>
      </c>
      <c r="J33" s="57" t="inlineStr">
        <is>
          <t>Marketing</t>
        </is>
      </c>
      <c r="K33" s="57" t="inlineStr">
        <is>
          <t>Prescripteur</t>
        </is>
      </c>
      <c r="L33" s="57" t="inlineStr">
        <is>
          <t>Oui</t>
        </is>
      </c>
      <c r="M33" s="57" t="inlineStr">
        <is>
          <t>E020</t>
        </is>
      </c>
      <c r="N33" s="57">
        <f>IFERROR(INDEX(Entreprises!$B$2:$B$3000,MATCH(M33,Entreprises!$A$2:$A$3000,0)),"")</f>
        <v/>
      </c>
      <c r="O33" s="57" t="inlineStr">
        <is>
          <t>U005</t>
        </is>
      </c>
      <c r="P33" s="57">
        <f>IFERROR(INDEX(Commerciaux!$D$2:$D$3000,MATCH(O33,Commerciaux!$A$2:$A$3000,0)),"")</f>
        <v/>
      </c>
      <c r="Q33" s="57" t="inlineStr">
        <is>
          <t>Opportunité</t>
        </is>
      </c>
      <c r="R33" s="57" t="inlineStr">
        <is>
          <t>Affaire ouverte</t>
        </is>
      </c>
      <c r="S33" s="57" t="inlineStr">
        <is>
          <t>Salon professionnel</t>
        </is>
      </c>
      <c r="T33" s="57" t="inlineStr">
        <is>
          <t>Visite</t>
        </is>
      </c>
      <c r="U33" s="57" t="inlineStr">
        <is>
          <t>Français</t>
        </is>
      </c>
      <c r="V33" s="58" t="n">
        <v>46083</v>
      </c>
      <c r="W33" s="58">
        <f>IF(COUNTIFS(Activités!$F$2:$F$3000,A33,Activités!$B$2:$B$3000,"&lt;="&amp;DateExport)=0,"",_xlfn.MAXIFS(Activités!$B$2:$B$3000,Activités!$F$2:$F$3000,A33,Activités!$B$2:$B$3000,"&lt;="&amp;DateExport))</f>
        <v/>
      </c>
      <c r="X33" s="60">
        <f>COUNTIFS(Activités!$F$2:$F$3000,A33,Activités!$B$2:$B$3000,"&gt;"&amp;(DateExport-365),Activités!$B$2:$B$3000,"&lt;="&amp;DateExport)</f>
        <v/>
      </c>
      <c r="Y33" s="57" t="inlineStr">
        <is>
          <t>Oui</t>
        </is>
      </c>
      <c r="Z33" s="40" t="inlineStr">
        <is>
          <t>Lancement de la nouvelle gamme prévu en 2027.</t>
        </is>
      </c>
    </row>
    <row r="34" ht="15" customHeight="1" s="34">
      <c r="A34" s="57" t="inlineStr">
        <is>
          <t>C033</t>
        </is>
      </c>
      <c r="B34" s="57" t="inlineStr">
        <is>
          <t>Mme</t>
        </is>
      </c>
      <c r="C34" s="57" t="inlineStr">
        <is>
          <t>Valérie</t>
        </is>
      </c>
      <c r="D34" s="57" t="inlineStr">
        <is>
          <t>Dumas</t>
        </is>
      </c>
      <c r="E34" s="57">
        <f>C34&amp;" "&amp;D34</f>
        <v/>
      </c>
      <c r="F34" s="57" t="inlineStr">
        <is>
          <t>valerie.dumas@volterra.example</t>
        </is>
      </c>
      <c r="G34" s="57" t="inlineStr">
        <is>
          <t>+33 1 99 00 17 61</t>
        </is>
      </c>
      <c r="H34" s="57" t="inlineStr">
        <is>
          <t>+33 6 39 98 87 52</t>
        </is>
      </c>
      <c r="I34" s="57" t="inlineStr">
        <is>
          <t>Responsable achats emballages groupe</t>
        </is>
      </c>
      <c r="J34" s="57" t="inlineStr">
        <is>
          <t>Achats</t>
        </is>
      </c>
      <c r="K34" s="57" t="inlineStr">
        <is>
          <t>Décideur</t>
        </is>
      </c>
      <c r="L34" s="57" t="inlineStr">
        <is>
          <t>Oui</t>
        </is>
      </c>
      <c r="M34" s="57" t="inlineStr">
        <is>
          <t>E021</t>
        </is>
      </c>
      <c r="N34" s="57">
        <f>IFERROR(INDEX(Entreprises!$B$2:$B$3000,MATCH(M34,Entreprises!$A$2:$A$3000,0)),"")</f>
        <v/>
      </c>
      <c r="O34" s="57" t="inlineStr">
        <is>
          <t>U005</t>
        </is>
      </c>
      <c r="P34" s="57">
        <f>IFERROR(INDEX(Commerciaux!$D$2:$D$3000,MATCH(O34,Commerciaux!$A$2:$A$3000,0)),"")</f>
        <v/>
      </c>
      <c r="Q34" s="57" t="inlineStr">
        <is>
          <t>Client</t>
        </is>
      </c>
      <c r="R34" s="57" t="inlineStr">
        <is>
          <t>Connecté</t>
        </is>
      </c>
      <c r="S34" s="57" t="inlineStr">
        <is>
          <t>Recommandation</t>
        </is>
      </c>
      <c r="T34" s="57" t="inlineStr">
        <is>
          <t>Visite</t>
        </is>
      </c>
      <c r="U34" s="57" t="inlineStr">
        <is>
          <t>Français</t>
        </is>
      </c>
      <c r="V34" s="58" t="n">
        <v>43854</v>
      </c>
      <c r="W34" s="58">
        <f>IF(COUNTIFS(Activités!$F$2:$F$3000,A34,Activités!$B$2:$B$3000,"&lt;="&amp;DateExport)=0,"",_xlfn.MAXIFS(Activités!$B$2:$B$3000,Activités!$F$2:$F$3000,A34,Activités!$B$2:$B$3000,"&lt;="&amp;DateExport))</f>
        <v/>
      </c>
      <c r="X34" s="60">
        <f>COUNTIFS(Activités!$F$2:$F$3000,A34,Activités!$B$2:$B$3000,"&gt;"&amp;(DateExport-365),Activités!$B$2:$B$3000,"&lt;="&amp;DateExport)</f>
        <v/>
      </c>
      <c r="Y34" s="57" t="inlineStr">
        <is>
          <t>Oui</t>
        </is>
      </c>
      <c r="Z34" s="40" t="inlineStr">
        <is>
          <t>Prépare le comité de décision de fin octobre.</t>
        </is>
      </c>
    </row>
    <row r="35" ht="15" customHeight="1" s="34">
      <c r="A35" s="57" t="inlineStr">
        <is>
          <t>C034</t>
        </is>
      </c>
      <c r="B35" s="57" t="inlineStr">
        <is>
          <t>M.</t>
        </is>
      </c>
      <c r="C35" s="57" t="inlineStr">
        <is>
          <t>Thierry</t>
        </is>
      </c>
      <c r="D35" s="57" t="inlineStr">
        <is>
          <t>Lacroix</t>
        </is>
      </c>
      <c r="E35" s="57">
        <f>C35&amp;" "&amp;D35</f>
        <v/>
      </c>
      <c r="F35" s="57" t="inlineStr">
        <is>
          <t>thierry.lacroix@volterra.example</t>
        </is>
      </c>
      <c r="G35" s="57" t="inlineStr">
        <is>
          <t>+33 1 99 00 20 68</t>
        </is>
      </c>
      <c r="H35" s="57" t="inlineStr">
        <is>
          <t>+33 6 39 98 92 61</t>
        </is>
      </c>
      <c r="I35" s="57" t="inlineStr">
        <is>
          <t>Responsable industrialisation</t>
        </is>
      </c>
      <c r="J35" s="57" t="inlineStr">
        <is>
          <t>Industrie</t>
        </is>
      </c>
      <c r="K35" s="57" t="inlineStr">
        <is>
          <t>Influenceur</t>
        </is>
      </c>
      <c r="L35" s="57" t="inlineStr">
        <is>
          <t>Non</t>
        </is>
      </c>
      <c r="M35" s="57" t="inlineStr">
        <is>
          <t>E021</t>
        </is>
      </c>
      <c r="N35" s="57">
        <f>IFERROR(INDEX(Entreprises!$B$2:$B$3000,MATCH(M35,Entreprises!$A$2:$A$3000,0)),"")</f>
        <v/>
      </c>
      <c r="O35" s="57" t="inlineStr">
        <is>
          <t>U005</t>
        </is>
      </c>
      <c r="P35" s="57">
        <f>IFERROR(INDEX(Commerciaux!$D$2:$D$3000,MATCH(O35,Commerciaux!$A$2:$A$3000,0)),"")</f>
        <v/>
      </c>
      <c r="Q35" s="57" t="inlineStr">
        <is>
          <t>Client</t>
        </is>
      </c>
      <c r="R35" s="57" t="inlineStr">
        <is>
          <t>Connecté</t>
        </is>
      </c>
      <c r="S35" s="57" t="inlineStr">
        <is>
          <t>Recommandation</t>
        </is>
      </c>
      <c r="T35" s="57" t="inlineStr">
        <is>
          <t>Téléphone</t>
        </is>
      </c>
      <c r="U35" s="57" t="inlineStr">
        <is>
          <t>Français</t>
        </is>
      </c>
      <c r="V35" s="58" t="n">
        <v>43917</v>
      </c>
      <c r="W35" s="58">
        <f>IF(COUNTIFS(Activités!$F$2:$F$3000,A35,Activités!$B$2:$B$3000,"&lt;="&amp;DateExport)=0,"",_xlfn.MAXIFS(Activités!$B$2:$B$3000,Activités!$F$2:$F$3000,A35,Activités!$B$2:$B$3000,"&lt;="&amp;DateExport))</f>
        <v/>
      </c>
      <c r="X35" s="60">
        <f>COUNTIFS(Activités!$F$2:$F$3000,A35,Activités!$B$2:$B$3000,"&gt;"&amp;(DateExport-365),Activités!$B$2:$B$3000,"&lt;="&amp;DateExport)</f>
        <v/>
      </c>
      <c r="Y35" s="57" t="inlineStr">
        <is>
          <t>Oui</t>
        </is>
      </c>
      <c r="Z35" s="40" t="inlineStr">
        <is>
          <t>Suit les essais en usine et l'étiqueteuse ETQ-400.</t>
        </is>
      </c>
    </row>
    <row r="36" ht="15" customHeight="1" s="34">
      <c r="A36" s="57" t="inlineStr">
        <is>
          <t>C035</t>
        </is>
      </c>
      <c r="B36" s="57" t="inlineStr">
        <is>
          <t>Mme</t>
        </is>
      </c>
      <c r="C36" s="57" t="inlineStr">
        <is>
          <t>Hélène</t>
        </is>
      </c>
      <c r="D36" s="57" t="inlineStr">
        <is>
          <t>Bouvier</t>
        </is>
      </c>
      <c r="E36" s="57">
        <f>C36&amp;" "&amp;D36</f>
        <v/>
      </c>
      <c r="F36" s="57" t="inlineStr">
        <is>
          <t>helene.bouvier@sanofi.example</t>
        </is>
      </c>
      <c r="G36" s="57" t="inlineStr">
        <is>
          <t>+33 1 99 00 23 75</t>
        </is>
      </c>
      <c r="H36" s="57" t="inlineStr">
        <is>
          <t>+33 6 39 98 12 70</t>
        </is>
      </c>
      <c r="I36" s="57" t="inlineStr">
        <is>
          <t>Directrice achats packaging France</t>
        </is>
      </c>
      <c r="J36" s="57" t="inlineStr">
        <is>
          <t>Achats</t>
        </is>
      </c>
      <c r="K36" s="57" t="inlineStr">
        <is>
          <t>Décideur</t>
        </is>
      </c>
      <c r="L36" s="57" t="inlineStr">
        <is>
          <t>Oui</t>
        </is>
      </c>
      <c r="M36" s="57" t="inlineStr">
        <is>
          <t>E022</t>
        </is>
      </c>
      <c r="N36" s="57">
        <f>IFERROR(INDEX(Entreprises!$B$2:$B$3000,MATCH(M36,Entreprises!$A$2:$A$3000,0)),"")</f>
        <v/>
      </c>
      <c r="O36" s="57" t="inlineStr">
        <is>
          <t>U006</t>
        </is>
      </c>
      <c r="P36" s="57">
        <f>IFERROR(INDEX(Commerciaux!$D$2:$D$3000,MATCH(O36,Commerciaux!$A$2:$A$3000,0)),"")</f>
        <v/>
      </c>
      <c r="Q36" s="57" t="inlineStr">
        <is>
          <t>Client</t>
        </is>
      </c>
      <c r="R36" s="57" t="inlineStr">
        <is>
          <t>Connecté</t>
        </is>
      </c>
      <c r="S36" s="57" t="inlineStr">
        <is>
          <t>Prospection terrain</t>
        </is>
      </c>
      <c r="T36" s="57" t="inlineStr">
        <is>
          <t>Visite</t>
        </is>
      </c>
      <c r="U36" s="57" t="inlineStr">
        <is>
          <t>Français</t>
        </is>
      </c>
      <c r="V36" s="58" t="n">
        <v>43496</v>
      </c>
      <c r="W36" s="58">
        <f>IF(COUNTIFS(Activités!$F$2:$F$3000,A36,Activités!$B$2:$B$3000,"&lt;="&amp;DateExport)=0,"",_xlfn.MAXIFS(Activités!$B$2:$B$3000,Activités!$F$2:$F$3000,A36,Activités!$B$2:$B$3000,"&lt;="&amp;DateExport))</f>
        <v/>
      </c>
      <c r="X36" s="60">
        <f>COUNTIFS(Activités!$F$2:$F$3000,A36,Activités!$B$2:$B$3000,"&gt;"&amp;(DateExport-365),Activités!$B$2:$B$3000,"&lt;="&amp;DateExport)</f>
        <v/>
      </c>
      <c r="Y36" s="57" t="inlineStr">
        <is>
          <t>Non</t>
        </is>
      </c>
      <c r="Z36" s="40" t="inlineStr">
        <is>
          <t>Pilote la consultation de renouvellement de l'accord-cadre.</t>
        </is>
      </c>
    </row>
    <row r="37" ht="15" customHeight="1" s="34">
      <c r="A37" s="57" t="inlineStr">
        <is>
          <t>C036</t>
        </is>
      </c>
      <c r="B37" s="57" t="inlineStr">
        <is>
          <t>M.</t>
        </is>
      </c>
      <c r="C37" s="57" t="inlineStr">
        <is>
          <t>Patrick</t>
        </is>
      </c>
      <c r="D37" s="57" t="inlineStr">
        <is>
          <t>Renaud</t>
        </is>
      </c>
      <c r="E37" s="57">
        <f>C37&amp;" "&amp;D37</f>
        <v/>
      </c>
      <c r="F37" s="57" t="inlineStr">
        <is>
          <t>patrick.renaud@sanofi.example</t>
        </is>
      </c>
      <c r="G37" s="57" t="inlineStr">
        <is>
          <t>+33 1 99 00 26 82</t>
        </is>
      </c>
      <c r="H37" s="57" t="inlineStr">
        <is>
          <t>+33 6 39 98 17 79</t>
        </is>
      </c>
      <c r="I37" s="57" t="inlineStr">
        <is>
          <t>Responsable sérialisation et traçabilité</t>
        </is>
      </c>
      <c r="J37" s="57" t="inlineStr">
        <is>
          <t>Industrie</t>
        </is>
      </c>
      <c r="K37" s="57" t="inlineStr">
        <is>
          <t>Prescripteur</t>
        </is>
      </c>
      <c r="L37" s="57" t="inlineStr">
        <is>
          <t>Oui</t>
        </is>
      </c>
      <c r="M37" s="57" t="inlineStr">
        <is>
          <t>E022</t>
        </is>
      </c>
      <c r="N37" s="57">
        <f>IFERROR(INDEX(Entreprises!$B$2:$B$3000,MATCH(M37,Entreprises!$A$2:$A$3000,0)),"")</f>
        <v/>
      </c>
      <c r="O37" s="57" t="inlineStr">
        <is>
          <t>U006</t>
        </is>
      </c>
      <c r="P37" s="57">
        <f>IFERROR(INDEX(Commerciaux!$D$2:$D$3000,MATCH(O37,Commerciaux!$A$2:$A$3000,0)),"")</f>
        <v/>
      </c>
      <c r="Q37" s="57" t="inlineStr">
        <is>
          <t>Client</t>
        </is>
      </c>
      <c r="R37" s="57" t="inlineStr">
        <is>
          <t>Connecté</t>
        </is>
      </c>
      <c r="S37" s="57" t="inlineStr">
        <is>
          <t>Prospection terrain</t>
        </is>
      </c>
      <c r="T37" s="57" t="inlineStr">
        <is>
          <t>Visio</t>
        </is>
      </c>
      <c r="U37" s="57" t="inlineStr">
        <is>
          <t>Français</t>
        </is>
      </c>
      <c r="V37" s="58" t="n">
        <v>43488</v>
      </c>
      <c r="W37" s="58">
        <f>IF(COUNTIFS(Activités!$F$2:$F$3000,A37,Activités!$B$2:$B$3000,"&lt;="&amp;DateExport)=0,"",_xlfn.MAXIFS(Activités!$B$2:$B$3000,Activités!$F$2:$F$3000,A37,Activités!$B$2:$B$3000,"&lt;="&amp;DateExport))</f>
        <v/>
      </c>
      <c r="X37" s="60">
        <f>COUNTIFS(Activités!$F$2:$F$3000,A37,Activités!$B$2:$B$3000,"&gt;"&amp;(DateExport-365),Activités!$B$2:$B$3000,"&lt;="&amp;DateExport)</f>
        <v/>
      </c>
      <c r="Y37" s="57" t="inlineStr">
        <is>
          <t>Oui</t>
        </is>
      </c>
      <c r="Z37" s="40" t="inlineStr">
        <is>
          <t>Pilote le déploiement de la sérialisation.</t>
        </is>
      </c>
    </row>
    <row r="38" ht="15" customHeight="1" s="34">
      <c r="A38" s="57" t="inlineStr">
        <is>
          <t>C037</t>
        </is>
      </c>
      <c r="B38" s="57" t="inlineStr">
        <is>
          <t>Mme</t>
        </is>
      </c>
      <c r="C38" s="57" t="inlineStr">
        <is>
          <t>Caroline</t>
        </is>
      </c>
      <c r="D38" s="57" t="inlineStr">
        <is>
          <t>Lefèvre</t>
        </is>
      </c>
      <c r="E38" s="57">
        <f>C38&amp;" "&amp;D38</f>
        <v/>
      </c>
      <c r="F38" s="57" t="inlineStr">
        <is>
          <t>caroline.lefevre@ipsen.example</t>
        </is>
      </c>
      <c r="G38" s="57" t="inlineStr">
        <is>
          <t>+33 1 99 00 29 89</t>
        </is>
      </c>
      <c r="H38" s="57" t="inlineStr">
        <is>
          <t>+33 6 39 98 22 88</t>
        </is>
      </c>
      <c r="I38" s="57" t="inlineStr">
        <is>
          <t>Acheteuse senior emballages</t>
        </is>
      </c>
      <c r="J38" s="57" t="inlineStr">
        <is>
          <t>Achats</t>
        </is>
      </c>
      <c r="K38" s="57" t="inlineStr">
        <is>
          <t>Décideur</t>
        </is>
      </c>
      <c r="L38" s="57" t="inlineStr">
        <is>
          <t>Oui</t>
        </is>
      </c>
      <c r="M38" s="57" t="inlineStr">
        <is>
          <t>E023</t>
        </is>
      </c>
      <c r="N38" s="57">
        <f>IFERROR(INDEX(Entreprises!$B$2:$B$3000,MATCH(M38,Entreprises!$A$2:$A$3000,0)),"")</f>
        <v/>
      </c>
      <c r="O38" s="57" t="inlineStr">
        <is>
          <t>U006</t>
        </is>
      </c>
      <c r="P38" s="57">
        <f>IFERROR(INDEX(Commerciaux!$D$2:$D$3000,MATCH(O38,Commerciaux!$A$2:$A$3000,0)),"")</f>
        <v/>
      </c>
      <c r="Q38" s="57" t="inlineStr">
        <is>
          <t>Client</t>
        </is>
      </c>
      <c r="R38" s="57" t="inlineStr">
        <is>
          <t>Connecté</t>
        </is>
      </c>
      <c r="S38" s="57" t="inlineStr">
        <is>
          <t>Recommandation</t>
        </is>
      </c>
      <c r="T38" s="57" t="inlineStr">
        <is>
          <t>Visite</t>
        </is>
      </c>
      <c r="U38" s="57" t="inlineStr">
        <is>
          <t>Français</t>
        </is>
      </c>
      <c r="V38" s="58" t="n">
        <v>43924</v>
      </c>
      <c r="W38" s="58">
        <f>IF(COUNTIFS(Activités!$F$2:$F$3000,A38,Activités!$B$2:$B$3000,"&lt;="&amp;DateExport)=0,"",_xlfn.MAXIFS(Activités!$B$2:$B$3000,Activités!$F$2:$F$3000,A38,Activités!$B$2:$B$3000,"&lt;="&amp;DateExport))</f>
        <v/>
      </c>
      <c r="X38" s="60">
        <f>COUNTIFS(Activités!$F$2:$F$3000,A38,Activités!$B$2:$B$3000,"&gt;"&amp;(DateExport-365),Activités!$B$2:$B$3000,"&lt;="&amp;DateExport)</f>
        <v/>
      </c>
      <c r="Y38" s="57" t="inlineStr">
        <is>
          <t>Oui</t>
        </is>
      </c>
      <c r="Z38" s="40" t="inlineStr">
        <is>
          <t>Contrat en relecture juridique.</t>
        </is>
      </c>
    </row>
    <row r="39" ht="15" customHeight="1" s="34">
      <c r="A39" s="57" t="inlineStr">
        <is>
          <t>C038</t>
        </is>
      </c>
      <c r="B39" s="57" t="inlineStr">
        <is>
          <t>M.</t>
        </is>
      </c>
      <c r="C39" s="57" t="inlineStr">
        <is>
          <t>David</t>
        </is>
      </c>
      <c r="D39" s="57" t="inlineStr">
        <is>
          <t>Nguyen</t>
        </is>
      </c>
      <c r="E39" s="57">
        <f>C39&amp;" "&amp;D39</f>
        <v/>
      </c>
      <c r="F39" s="57" t="inlineStr">
        <is>
          <t>david.nguyen@ipsen.example</t>
        </is>
      </c>
      <c r="G39" s="57" t="inlineStr">
        <is>
          <t>+33 1 99 00 32 96</t>
        </is>
      </c>
      <c r="H39" s="57" t="inlineStr">
        <is>
          <t>+33 6 39 98 27 14</t>
        </is>
      </c>
      <c r="I39" s="57" t="inlineStr">
        <is>
          <t>Responsable conditionnement</t>
        </is>
      </c>
      <c r="J39" s="57" t="inlineStr">
        <is>
          <t>Production</t>
        </is>
      </c>
      <c r="K39" s="57" t="inlineStr">
        <is>
          <t>Utilisateur</t>
        </is>
      </c>
      <c r="L39" s="57" t="inlineStr">
        <is>
          <t>Non</t>
        </is>
      </c>
      <c r="M39" s="57" t="inlineStr">
        <is>
          <t>E023</t>
        </is>
      </c>
      <c r="N39" s="57">
        <f>IFERROR(INDEX(Entreprises!$B$2:$B$3000,MATCH(M39,Entreprises!$A$2:$A$3000,0)),"")</f>
        <v/>
      </c>
      <c r="O39" s="57" t="inlineStr">
        <is>
          <t>U006</t>
        </is>
      </c>
      <c r="P39" s="57">
        <f>IFERROR(INDEX(Commerciaux!$D$2:$D$3000,MATCH(O39,Commerciaux!$A$2:$A$3000,0)),"")</f>
        <v/>
      </c>
      <c r="Q39" s="57" t="inlineStr">
        <is>
          <t>Client</t>
        </is>
      </c>
      <c r="R39" s="57" t="inlineStr">
        <is>
          <t>Connecté</t>
        </is>
      </c>
      <c r="S39" s="57" t="inlineStr">
        <is>
          <t>Recommandation</t>
        </is>
      </c>
      <c r="T39" s="57" t="inlineStr">
        <is>
          <t>Téléphone</t>
        </is>
      </c>
      <c r="U39" s="57" t="inlineStr">
        <is>
          <t>Français</t>
        </is>
      </c>
      <c r="V39" s="58" t="n">
        <v>43956</v>
      </c>
      <c r="W39" s="58">
        <f>IF(COUNTIFS(Activités!$F$2:$F$3000,A39,Activités!$B$2:$B$3000,"&lt;="&amp;DateExport)=0,"",_xlfn.MAXIFS(Activités!$B$2:$B$3000,Activités!$F$2:$F$3000,A39,Activités!$B$2:$B$3000,"&lt;="&amp;DateExport))</f>
        <v/>
      </c>
      <c r="X39" s="60">
        <f>COUNTIFS(Activités!$F$2:$F$3000,A39,Activités!$B$2:$B$3000,"&gt;"&amp;(DateExport-365),Activités!$B$2:$B$3000,"&lt;="&amp;DateExport)</f>
        <v/>
      </c>
      <c r="Y39" s="57" t="inlineStr">
        <is>
          <t>Non</t>
        </is>
      </c>
      <c r="Z39" s="40" t="inlineStr">
        <is>
          <t>Questions techniques sur les adhésifs.</t>
        </is>
      </c>
    </row>
    <row r="40" ht="15" customHeight="1" s="34">
      <c r="A40" s="57" t="inlineStr">
        <is>
          <t>C039</t>
        </is>
      </c>
      <c r="B40" s="57" t="inlineStr">
        <is>
          <t>Mme</t>
        </is>
      </c>
      <c r="C40" s="57" t="inlineStr">
        <is>
          <t>Agnès</t>
        </is>
      </c>
      <c r="D40" s="57" t="inlineStr">
        <is>
          <t>Picard</t>
        </is>
      </c>
      <c r="E40" s="57">
        <f>C40&amp;" "&amp;D40</f>
        <v/>
      </c>
      <c r="F40" s="57" t="inlineStr">
        <is>
          <t>agnes.picard@servier.example</t>
        </is>
      </c>
      <c r="G40" s="57" t="inlineStr">
        <is>
          <t>+33 1 99 00 35 16</t>
        </is>
      </c>
      <c r="H40" s="57" t="inlineStr">
        <is>
          <t>+33 6 39 98 32 23</t>
        </is>
      </c>
      <c r="I40" s="57" t="inlineStr">
        <is>
          <t>Responsable achats articles de conditionnement</t>
        </is>
      </c>
      <c r="J40" s="57" t="inlineStr">
        <is>
          <t>Achats</t>
        </is>
      </c>
      <c r="K40" s="57" t="inlineStr">
        <is>
          <t>Décideur</t>
        </is>
      </c>
      <c r="L40" s="57" t="inlineStr">
        <is>
          <t>Oui</t>
        </is>
      </c>
      <c r="M40" s="57" t="inlineStr">
        <is>
          <t>E024</t>
        </is>
      </c>
      <c r="N40" s="57">
        <f>IFERROR(INDEX(Entreprises!$B$2:$B$3000,MATCH(M40,Entreprises!$A$2:$A$3000,0)),"")</f>
        <v/>
      </c>
      <c r="O40" s="57" t="inlineStr">
        <is>
          <t>U006</t>
        </is>
      </c>
      <c r="P40" s="57">
        <f>IFERROR(INDEX(Commerciaux!$D$2:$D$3000,MATCH(O40,Commerciaux!$A$2:$A$3000,0)),"")</f>
        <v/>
      </c>
      <c r="Q40" s="57" t="inlineStr">
        <is>
          <t>Opportunité</t>
        </is>
      </c>
      <c r="R40" s="57" t="inlineStr">
        <is>
          <t>Affaire ouverte</t>
        </is>
      </c>
      <c r="S40" s="57" t="inlineStr">
        <is>
          <t>Événement / webinaire</t>
        </is>
      </c>
      <c r="T40" s="57" t="inlineStr">
        <is>
          <t>Visite</t>
        </is>
      </c>
      <c r="U40" s="57" t="inlineStr">
        <is>
          <t>Français</t>
        </is>
      </c>
      <c r="V40" s="58" t="n">
        <v>45944</v>
      </c>
      <c r="W40" s="58">
        <f>IF(COUNTIFS(Activités!$F$2:$F$3000,A40,Activités!$B$2:$B$3000,"&lt;="&amp;DateExport)=0,"",_xlfn.MAXIFS(Activités!$B$2:$B$3000,Activités!$F$2:$F$3000,A40,Activités!$B$2:$B$3000,"&lt;="&amp;DateExport))</f>
        <v/>
      </c>
      <c r="X40" s="60">
        <f>COUNTIFS(Activités!$F$2:$F$3000,A40,Activités!$B$2:$B$3000,"&gt;"&amp;(DateExport-365),Activités!$B$2:$B$3000,"&lt;="&amp;DateExport)</f>
        <v/>
      </c>
      <c r="Y40" s="57" t="inlineStr">
        <is>
          <t>Non</t>
        </is>
      </c>
      <c r="Z40" s="40" t="inlineStr">
        <is>
          <t>Conduit l'appel d'offres notices et étuis.</t>
        </is>
      </c>
    </row>
    <row r="41" ht="15" customHeight="1" s="34">
      <c r="A41" s="57" t="inlineStr">
        <is>
          <t>C040</t>
        </is>
      </c>
      <c r="B41" s="57" t="inlineStr">
        <is>
          <t>M.</t>
        </is>
      </c>
      <c r="C41" s="57" t="inlineStr">
        <is>
          <t>Frédéric</t>
        </is>
      </c>
      <c r="D41" s="57" t="inlineStr">
        <is>
          <t>Masson</t>
        </is>
      </c>
      <c r="E41" s="57">
        <f>C41&amp;" "&amp;D41</f>
        <v/>
      </c>
      <c r="F41" s="57" t="inlineStr">
        <is>
          <t>frederic.masson@pernod-ricard.example</t>
        </is>
      </c>
      <c r="G41" s="57" t="inlineStr">
        <is>
          <t>+33 1 99 00 38 23</t>
        </is>
      </c>
      <c r="H41" s="57" t="inlineStr">
        <is>
          <t>+33 6 39 98 37 32</t>
        </is>
      </c>
      <c r="I41" s="57" t="inlineStr">
        <is>
          <t>Directeur achats packaging</t>
        </is>
      </c>
      <c r="J41" s="57" t="inlineStr">
        <is>
          <t>Achats</t>
        </is>
      </c>
      <c r="K41" s="57" t="inlineStr">
        <is>
          <t>Décideur</t>
        </is>
      </c>
      <c r="L41" s="57" t="inlineStr">
        <is>
          <t>Oui</t>
        </is>
      </c>
      <c r="M41" s="57" t="inlineStr">
        <is>
          <t>E025</t>
        </is>
      </c>
      <c r="N41" s="57">
        <f>IFERROR(INDEX(Entreprises!$B$2:$B$3000,MATCH(M41,Entreprises!$A$2:$A$3000,0)),"")</f>
        <v/>
      </c>
      <c r="O41" s="57" t="inlineStr">
        <is>
          <t>U007</t>
        </is>
      </c>
      <c r="P41" s="57">
        <f>IFERROR(INDEX(Commerciaux!$D$2:$D$3000,MATCH(O41,Commerciaux!$A$2:$A$3000,0)),"")</f>
        <v/>
      </c>
      <c r="Q41" s="57" t="inlineStr">
        <is>
          <t>Client</t>
        </is>
      </c>
      <c r="R41" s="57" t="inlineStr">
        <is>
          <t>Connecté</t>
        </is>
      </c>
      <c r="S41" s="57" t="inlineStr">
        <is>
          <t>Salon professionnel</t>
        </is>
      </c>
      <c r="T41" s="57" t="inlineStr">
        <is>
          <t>Visite</t>
        </is>
      </c>
      <c r="U41" s="57" t="inlineStr">
        <is>
          <t>Français</t>
        </is>
      </c>
      <c r="V41" s="58" t="n">
        <v>43535</v>
      </c>
      <c r="W41" s="58">
        <f>IF(COUNTIFS(Activités!$F$2:$F$3000,A41,Activités!$B$2:$B$3000,"&lt;="&amp;DateExport)=0,"",_xlfn.MAXIFS(Activités!$B$2:$B$3000,Activités!$F$2:$F$3000,A41,Activités!$B$2:$B$3000,"&lt;="&amp;DateExport))</f>
        <v/>
      </c>
      <c r="X41" s="60">
        <f>COUNTIFS(Activités!$F$2:$F$3000,A41,Activités!$B$2:$B$3000,"&gt;"&amp;(DateExport-365),Activités!$B$2:$B$3000,"&lt;="&amp;DateExport)</f>
        <v/>
      </c>
      <c r="Y41" s="57" t="inlineStr">
        <is>
          <t>Non</t>
        </is>
      </c>
      <c r="Z41" s="40" t="inlineStr">
        <is>
          <t>Prépare la révision du panel fournisseurs 2027.</t>
        </is>
      </c>
    </row>
    <row r="42" ht="15" customHeight="1" s="34">
      <c r="A42" s="57" t="inlineStr">
        <is>
          <t>C041</t>
        </is>
      </c>
      <c r="B42" s="57" t="inlineStr">
        <is>
          <t>Mme</t>
        </is>
      </c>
      <c r="C42" s="57" t="inlineStr">
        <is>
          <t>Manon</t>
        </is>
      </c>
      <c r="D42" s="57" t="inlineStr">
        <is>
          <t>Leclerc</t>
        </is>
      </c>
      <c r="E42" s="57">
        <f>C42&amp;" "&amp;D42</f>
        <v/>
      </c>
      <c r="F42" s="57" t="inlineStr">
        <is>
          <t>manon.leclerc@pernod-ricard.example</t>
        </is>
      </c>
      <c r="G42" s="57" t="inlineStr">
        <is>
          <t>+33 1 99 00 41 30</t>
        </is>
      </c>
      <c r="H42" s="57" t="inlineStr">
        <is>
          <t>+33 6 39 98 42 41</t>
        </is>
      </c>
      <c r="I42" s="57" t="inlineStr">
        <is>
          <t>Responsable éco-conception</t>
        </is>
      </c>
      <c r="J42" s="57" t="inlineStr">
        <is>
          <t>RSE et packaging</t>
        </is>
      </c>
      <c r="K42" s="57" t="inlineStr">
        <is>
          <t>Prescripteur</t>
        </is>
      </c>
      <c r="L42" s="57" t="inlineStr">
        <is>
          <t>Oui</t>
        </is>
      </c>
      <c r="M42" s="57" t="inlineStr">
        <is>
          <t>E025</t>
        </is>
      </c>
      <c r="N42" s="57">
        <f>IFERROR(INDEX(Entreprises!$B$2:$B$3000,MATCH(M42,Entreprises!$A$2:$A$3000,0)),"")</f>
        <v/>
      </c>
      <c r="O42" s="57" t="inlineStr">
        <is>
          <t>U007</t>
        </is>
      </c>
      <c r="P42" s="57">
        <f>IFERROR(INDEX(Commerciaux!$D$2:$D$3000,MATCH(O42,Commerciaux!$A$2:$A$3000,0)),"")</f>
        <v/>
      </c>
      <c r="Q42" s="57" t="inlineStr">
        <is>
          <t>Client</t>
        </is>
      </c>
      <c r="R42" s="57" t="inlineStr">
        <is>
          <t>Connecté</t>
        </is>
      </c>
      <c r="S42" s="57" t="inlineStr">
        <is>
          <t>Salon professionnel</t>
        </is>
      </c>
      <c r="T42" s="57" t="inlineStr">
        <is>
          <t>Visio</t>
        </is>
      </c>
      <c r="U42" s="57" t="inlineStr">
        <is>
          <t>Français</t>
        </is>
      </c>
      <c r="V42" s="58" t="n">
        <v>43503</v>
      </c>
      <c r="W42" s="58">
        <f>IF(COUNTIFS(Activités!$F$2:$F$3000,A42,Activités!$B$2:$B$3000,"&lt;="&amp;DateExport)=0,"",_xlfn.MAXIFS(Activités!$B$2:$B$3000,Activités!$F$2:$F$3000,A42,Activités!$B$2:$B$3000,"&lt;="&amp;DateExport))</f>
        <v/>
      </c>
      <c r="X42" s="60">
        <f>COUNTIFS(Activités!$F$2:$F$3000,A42,Activités!$B$2:$B$3000,"&gt;"&amp;(DateExport-365),Activités!$B$2:$B$3000,"&lt;="&amp;DateExport)</f>
        <v/>
      </c>
      <c r="Y42" s="57" t="inlineStr">
        <is>
          <t>Oui</t>
        </is>
      </c>
      <c r="Z42" s="40" t="inlineStr">
        <is>
          <t>Attend des analyses de cycle de vie comparatives.</t>
        </is>
      </c>
    </row>
    <row r="43" ht="15" customHeight="1" s="34">
      <c r="A43" s="57" t="inlineStr">
        <is>
          <t>C042</t>
        </is>
      </c>
      <c r="B43" s="57" t="inlineStr">
        <is>
          <t>Mme</t>
        </is>
      </c>
      <c r="C43" s="57" t="inlineStr">
        <is>
          <t>Véronique</t>
        </is>
      </c>
      <c r="D43" s="57" t="inlineStr">
        <is>
          <t>Bertin</t>
        </is>
      </c>
      <c r="E43" s="57">
        <f>C43&amp;" "&amp;D43</f>
        <v/>
      </c>
      <c r="F43" s="57" t="inlineStr">
        <is>
          <t>veronique.bertin@danone.example</t>
        </is>
      </c>
      <c r="G43" s="57" t="inlineStr">
        <is>
          <t>+33 1 99 00 44 37</t>
        </is>
      </c>
      <c r="H43" s="57" t="inlineStr">
        <is>
          <t>+33 6 39 98 47 50</t>
        </is>
      </c>
      <c r="I43" s="57" t="inlineStr">
        <is>
          <t>Category manager emballages</t>
        </is>
      </c>
      <c r="J43" s="57" t="inlineStr">
        <is>
          <t>Achats</t>
        </is>
      </c>
      <c r="K43" s="57" t="inlineStr">
        <is>
          <t>Décideur</t>
        </is>
      </c>
      <c r="L43" s="57" t="inlineStr">
        <is>
          <t>Oui</t>
        </is>
      </c>
      <c r="M43" s="57" t="inlineStr">
        <is>
          <t>E026</t>
        </is>
      </c>
      <c r="N43" s="57">
        <f>IFERROR(INDEX(Entreprises!$B$2:$B$3000,MATCH(M43,Entreprises!$A$2:$A$3000,0)),"")</f>
        <v/>
      </c>
      <c r="O43" s="57" t="inlineStr">
        <is>
          <t>U007</t>
        </is>
      </c>
      <c r="P43" s="57">
        <f>IFERROR(INDEX(Commerciaux!$D$2:$D$3000,MATCH(O43,Commerciaux!$A$2:$A$3000,0)),"")</f>
        <v/>
      </c>
      <c r="Q43" s="57" t="inlineStr">
        <is>
          <t>Client</t>
        </is>
      </c>
      <c r="R43" s="57" t="inlineStr">
        <is>
          <t>Connecté</t>
        </is>
      </c>
      <c r="S43" s="57" t="inlineStr">
        <is>
          <t>Prospection terrain</t>
        </is>
      </c>
      <c r="T43" s="57" t="inlineStr">
        <is>
          <t>Visite</t>
        </is>
      </c>
      <c r="U43" s="57" t="inlineStr">
        <is>
          <t>Français</t>
        </is>
      </c>
      <c r="V43" s="58" t="n">
        <v>43790</v>
      </c>
      <c r="W43" s="58">
        <f>IF(COUNTIFS(Activités!$F$2:$F$3000,A43,Activités!$B$2:$B$3000,"&lt;="&amp;DateExport)=0,"",_xlfn.MAXIFS(Activités!$B$2:$B$3000,Activités!$F$2:$F$3000,A43,Activités!$B$2:$B$3000,"&lt;="&amp;DateExport))</f>
        <v/>
      </c>
      <c r="X43" s="60">
        <f>COUNTIFS(Activités!$F$2:$F$3000,A43,Activités!$B$2:$B$3000,"&gt;"&amp;(DateExport-365),Activités!$B$2:$B$3000,"&lt;="&amp;DateExport)</f>
        <v/>
      </c>
      <c r="Y43" s="57" t="inlineStr">
        <is>
          <t>Non</t>
        </is>
      </c>
      <c r="Z43" s="40" t="inlineStr">
        <is>
          <t>Pilote la réduction des emballages secondaires.</t>
        </is>
      </c>
    </row>
    <row r="44" ht="15" customHeight="1" s="34">
      <c r="A44" s="57" t="inlineStr">
        <is>
          <t>C043</t>
        </is>
      </c>
      <c r="B44" s="57" t="inlineStr">
        <is>
          <t>M.</t>
        </is>
      </c>
      <c r="C44" s="57" t="inlineStr">
        <is>
          <t>Samuel</t>
        </is>
      </c>
      <c r="D44" s="57" t="inlineStr">
        <is>
          <t>Robin</t>
        </is>
      </c>
      <c r="E44" s="57">
        <f>C44&amp;" "&amp;D44</f>
        <v/>
      </c>
      <c r="F44" s="57" t="inlineStr">
        <is>
          <t>samuel.robin@danone.example</t>
        </is>
      </c>
      <c r="G44" s="57" t="inlineStr">
        <is>
          <t>+33 1 99 00 47 44</t>
        </is>
      </c>
      <c r="H44" s="57" t="inlineStr">
        <is>
          <t>+33 6 39 98 52 59</t>
        </is>
      </c>
      <c r="I44" s="57" t="inlineStr">
        <is>
          <t>Responsable supply chain emballages</t>
        </is>
      </c>
      <c r="J44" s="57" t="inlineStr">
        <is>
          <t>Supply chain</t>
        </is>
      </c>
      <c r="K44" s="57" t="inlineStr">
        <is>
          <t>Influenceur</t>
        </is>
      </c>
      <c r="L44" s="57" t="inlineStr">
        <is>
          <t>Non</t>
        </is>
      </c>
      <c r="M44" s="57" t="inlineStr">
        <is>
          <t>E026</t>
        </is>
      </c>
      <c r="N44" s="57">
        <f>IFERROR(INDEX(Entreprises!$B$2:$B$3000,MATCH(M44,Entreprises!$A$2:$A$3000,0)),"")</f>
        <v/>
      </c>
      <c r="O44" s="57" t="inlineStr">
        <is>
          <t>U007</t>
        </is>
      </c>
      <c r="P44" s="57">
        <f>IFERROR(INDEX(Commerciaux!$D$2:$D$3000,MATCH(O44,Commerciaux!$A$2:$A$3000,0)),"")</f>
        <v/>
      </c>
      <c r="Q44" s="57" t="inlineStr">
        <is>
          <t>Client</t>
        </is>
      </c>
      <c r="R44" s="57" t="inlineStr">
        <is>
          <t>Connecté</t>
        </is>
      </c>
      <c r="S44" s="57" t="inlineStr">
        <is>
          <t>Prospection terrain</t>
        </is>
      </c>
      <c r="T44" s="57" t="inlineStr">
        <is>
          <t>Visio</t>
        </is>
      </c>
      <c r="U44" s="57" t="inlineStr">
        <is>
          <t>Français</t>
        </is>
      </c>
      <c r="V44" s="58" t="n">
        <v>43784</v>
      </c>
      <c r="W44" s="58">
        <f>IF(COUNTIFS(Activités!$F$2:$F$3000,A44,Activités!$B$2:$B$3000,"&lt;="&amp;DateExport)=0,"",_xlfn.MAXIFS(Activités!$B$2:$B$3000,Activités!$F$2:$F$3000,A44,Activités!$B$2:$B$3000,"&lt;="&amp;DateExport))</f>
        <v/>
      </c>
      <c r="X44" s="60">
        <f>COUNTIFS(Activités!$F$2:$F$3000,A44,Activités!$B$2:$B$3000,"&gt;"&amp;(DateExport-365),Activités!$B$2:$B$3000,"&lt;="&amp;DateExport)</f>
        <v/>
      </c>
      <c r="Y44" s="57" t="inlineStr">
        <is>
          <t>Oui</t>
        </is>
      </c>
      <c r="Z44" s="40" t="inlineStr">
        <is>
          <t>Suit les prévisions de capacité 2027.</t>
        </is>
      </c>
    </row>
    <row r="45" ht="15" customHeight="1" s="34">
      <c r="A45" s="57" t="inlineStr">
        <is>
          <t>C044</t>
        </is>
      </c>
      <c r="B45" s="57" t="inlineStr">
        <is>
          <t>Mme</t>
        </is>
      </c>
      <c r="C45" s="57" t="inlineStr">
        <is>
          <t>Laetitia</t>
        </is>
      </c>
      <c r="D45" s="57" t="inlineStr">
        <is>
          <t>Fournier</t>
        </is>
      </c>
      <c r="E45" s="57">
        <f>C45&amp;" "&amp;D45</f>
        <v/>
      </c>
      <c r="F45" s="57" t="inlineStr">
        <is>
          <t>laetitia.fournier@loreal.example</t>
        </is>
      </c>
      <c r="G45" s="57" t="inlineStr">
        <is>
          <t>+33 1 99 00 50 51</t>
        </is>
      </c>
      <c r="H45" s="57" t="inlineStr">
        <is>
          <t>+33 6 39 98 57 68</t>
        </is>
      </c>
      <c r="I45" s="57" t="inlineStr">
        <is>
          <t>Directrice développement packaging</t>
        </is>
      </c>
      <c r="J45" s="57" t="inlineStr">
        <is>
          <t>Packaging</t>
        </is>
      </c>
      <c r="K45" s="57" t="inlineStr">
        <is>
          <t>Décideur</t>
        </is>
      </c>
      <c r="L45" s="57" t="inlineStr">
        <is>
          <t>Oui</t>
        </is>
      </c>
      <c r="M45" s="57" t="inlineStr">
        <is>
          <t>E027</t>
        </is>
      </c>
      <c r="N45" s="57">
        <f>IFERROR(INDEX(Entreprises!$B$2:$B$3000,MATCH(M45,Entreprises!$A$2:$A$3000,0)),"")</f>
        <v/>
      </c>
      <c r="O45" s="57" t="inlineStr">
        <is>
          <t>U007</t>
        </is>
      </c>
      <c r="P45" s="57">
        <f>IFERROR(INDEX(Commerciaux!$D$2:$D$3000,MATCH(O45,Commerciaux!$A$2:$A$3000,0)),"")</f>
        <v/>
      </c>
      <c r="Q45" s="57" t="inlineStr">
        <is>
          <t>Client</t>
        </is>
      </c>
      <c r="R45" s="57" t="inlineStr">
        <is>
          <t>Connecté</t>
        </is>
      </c>
      <c r="S45" s="57" t="inlineStr">
        <is>
          <t>Recommandation</t>
        </is>
      </c>
      <c r="T45" s="57" t="inlineStr">
        <is>
          <t>Visite</t>
        </is>
      </c>
      <c r="U45" s="57" t="inlineStr">
        <is>
          <t>Français</t>
        </is>
      </c>
      <c r="V45" s="58" t="n">
        <v>44186</v>
      </c>
      <c r="W45" s="58">
        <f>IF(COUNTIFS(Activités!$F$2:$F$3000,A45,Activités!$B$2:$B$3000,"&lt;="&amp;DateExport)=0,"",_xlfn.MAXIFS(Activités!$B$2:$B$3000,Activités!$F$2:$F$3000,A45,Activités!$B$2:$B$3000,"&lt;="&amp;DateExport))</f>
        <v/>
      </c>
      <c r="X45" s="60">
        <f>COUNTIFS(Activités!$F$2:$F$3000,A45,Activités!$B$2:$B$3000,"&gt;"&amp;(DateExport-365),Activités!$B$2:$B$3000,"&lt;="&amp;DateExport)</f>
        <v/>
      </c>
      <c r="Y45" s="57" t="inlineStr">
        <is>
          <t>Non</t>
        </is>
      </c>
      <c r="Z45" s="40" t="inlineStr">
        <is>
          <t>Consulte trois fournisseurs pour les coffrets 2027.</t>
        </is>
      </c>
    </row>
    <row r="46" ht="15" customHeight="1" s="34">
      <c r="A46" s="57" t="inlineStr">
        <is>
          <t>C045</t>
        </is>
      </c>
      <c r="B46" s="57" t="inlineStr">
        <is>
          <t>M.</t>
        </is>
      </c>
      <c r="C46" s="57" t="inlineStr">
        <is>
          <t>Alexandre</t>
        </is>
      </c>
      <c r="D46" s="57" t="inlineStr">
        <is>
          <t>Colin</t>
        </is>
      </c>
      <c r="E46" s="57">
        <f>C46&amp;" "&amp;D46</f>
        <v/>
      </c>
      <c r="F46" s="57" t="inlineStr">
        <is>
          <t>alexandre.colin@loreal.example</t>
        </is>
      </c>
      <c r="G46" s="57" t="inlineStr">
        <is>
          <t>+33 1 99 00 53 58</t>
        </is>
      </c>
      <c r="H46" s="57" t="inlineStr">
        <is>
          <t>+33 6 39 98 62 77</t>
        </is>
      </c>
      <c r="I46" s="57" t="inlineStr">
        <is>
          <t>Acheteur coffrets</t>
        </is>
      </c>
      <c r="J46" s="57" t="inlineStr">
        <is>
          <t>Achats</t>
        </is>
      </c>
      <c r="K46" s="57" t="inlineStr">
        <is>
          <t>Influenceur</t>
        </is>
      </c>
      <c r="L46" s="57" t="inlineStr">
        <is>
          <t>Non</t>
        </is>
      </c>
      <c r="M46" s="57" t="inlineStr">
        <is>
          <t>E027</t>
        </is>
      </c>
      <c r="N46" s="57">
        <f>IFERROR(INDEX(Entreprises!$B$2:$B$3000,MATCH(M46,Entreprises!$A$2:$A$3000,0)),"")</f>
        <v/>
      </c>
      <c r="O46" s="57" t="inlineStr">
        <is>
          <t>U007</t>
        </is>
      </c>
      <c r="P46" s="57">
        <f>IFERROR(INDEX(Commerciaux!$D$2:$D$3000,MATCH(O46,Commerciaux!$A$2:$A$3000,0)),"")</f>
        <v/>
      </c>
      <c r="Q46" s="57" t="inlineStr">
        <is>
          <t>Client</t>
        </is>
      </c>
      <c r="R46" s="57" t="inlineStr">
        <is>
          <t>Connecté</t>
        </is>
      </c>
      <c r="S46" s="57" t="inlineStr">
        <is>
          <t>Recommandation</t>
        </is>
      </c>
      <c r="T46" s="57" t="inlineStr">
        <is>
          <t>E-mail</t>
        </is>
      </c>
      <c r="U46" s="57" t="inlineStr">
        <is>
          <t>Français</t>
        </is>
      </c>
      <c r="V46" s="58" t="n">
        <v>44235</v>
      </c>
      <c r="W46" s="58">
        <f>IF(COUNTIFS(Activités!$F$2:$F$3000,A46,Activités!$B$2:$B$3000,"&lt;="&amp;DateExport)=0,"",_xlfn.MAXIFS(Activités!$B$2:$B$3000,Activités!$F$2:$F$3000,A46,Activités!$B$2:$B$3000,"&lt;="&amp;DateExport))</f>
        <v/>
      </c>
      <c r="X46" s="60">
        <f>COUNTIFS(Activités!$F$2:$F$3000,A46,Activités!$B$2:$B$3000,"&gt;"&amp;(DateExport-365),Activités!$B$2:$B$3000,"&lt;="&amp;DateExport)</f>
        <v/>
      </c>
      <c r="Y46" s="57" t="inlineStr">
        <is>
          <t>Oui</t>
        </is>
      </c>
      <c r="Z46" s="40" t="inlineStr">
        <is>
          <t>Suit les livraisons et la qualité transport.</t>
        </is>
      </c>
    </row>
    <row r="47" ht="15" customHeight="1" s="34">
      <c r="A47" s="57" t="inlineStr">
        <is>
          <t>C046</t>
        </is>
      </c>
      <c r="B47" s="57" t="inlineStr">
        <is>
          <t>M.</t>
        </is>
      </c>
      <c r="C47" s="57" t="inlineStr">
        <is>
          <t>Éric</t>
        </is>
      </c>
      <c r="D47" s="57" t="inlineStr">
        <is>
          <t>Lemoine</t>
        </is>
      </c>
      <c r="E47" s="57">
        <f>C47&amp;" "&amp;D47</f>
        <v/>
      </c>
      <c r="F47" s="57" t="inlineStr">
        <is>
          <t>eric.lemoine@savencia-fromagedairy.example</t>
        </is>
      </c>
      <c r="G47" s="57" t="inlineStr">
        <is>
          <t>+33 1 99 00 56 65</t>
        </is>
      </c>
      <c r="H47" s="57" t="inlineStr">
        <is>
          <t>+33 6 39 98 67 86</t>
        </is>
      </c>
      <c r="I47" s="57" t="inlineStr">
        <is>
          <t>Responsable achats emballages</t>
        </is>
      </c>
      <c r="J47" s="57" t="inlineStr">
        <is>
          <t>Achats</t>
        </is>
      </c>
      <c r="K47" s="57" t="inlineStr">
        <is>
          <t>Décideur</t>
        </is>
      </c>
      <c r="L47" s="57" t="inlineStr">
        <is>
          <t>Oui</t>
        </is>
      </c>
      <c r="M47" s="57" t="inlineStr">
        <is>
          <t>E028</t>
        </is>
      </c>
      <c r="N47" s="57">
        <f>IFERROR(INDEX(Entreprises!$B$2:$B$3000,MATCH(M47,Entreprises!$A$2:$A$3000,0)),"")</f>
        <v/>
      </c>
      <c r="O47" s="57" t="inlineStr">
        <is>
          <t>U007</t>
        </is>
      </c>
      <c r="P47" s="57">
        <f>IFERROR(INDEX(Commerciaux!$D$2:$D$3000,MATCH(O47,Commerciaux!$A$2:$A$3000,0)),"")</f>
        <v/>
      </c>
      <c r="Q47" s="57" t="inlineStr">
        <is>
          <t>Client</t>
        </is>
      </c>
      <c r="R47" s="57" t="inlineStr">
        <is>
          <t>Connecté</t>
        </is>
      </c>
      <c r="S47" s="57" t="inlineStr">
        <is>
          <t>Salon professionnel</t>
        </is>
      </c>
      <c r="T47" s="57" t="inlineStr">
        <is>
          <t>Visite</t>
        </is>
      </c>
      <c r="U47" s="57" t="inlineStr">
        <is>
          <t>Français</t>
        </is>
      </c>
      <c r="V47" s="58" t="n">
        <v>44481</v>
      </c>
      <c r="W47" s="58">
        <f>IF(COUNTIFS(Activités!$F$2:$F$3000,A47,Activités!$B$2:$B$3000,"&lt;="&amp;DateExport)=0,"",_xlfn.MAXIFS(Activités!$B$2:$B$3000,Activités!$F$2:$F$3000,A47,Activités!$B$2:$B$3000,"&lt;="&amp;DateExport))</f>
        <v/>
      </c>
      <c r="X47" s="60">
        <f>COUNTIFS(Activités!$F$2:$F$3000,A47,Activités!$B$2:$B$3000,"&gt;"&amp;(DateExport-365),Activités!$B$2:$B$3000,"&lt;="&amp;DateExport)</f>
        <v/>
      </c>
      <c r="Y47" s="57" t="inlineStr">
        <is>
          <t>Oui</t>
        </is>
      </c>
      <c r="Z47" s="40" t="inlineStr">
        <is>
          <t>Finalise le contrat étiquettes export.</t>
        </is>
      </c>
    </row>
    <row r="48" ht="15" customHeight="1" s="34">
      <c r="A48" s="57" t="inlineStr">
        <is>
          <t>C047</t>
        </is>
      </c>
      <c r="B48" s="57" t="inlineStr">
        <is>
          <t>Mme</t>
        </is>
      </c>
      <c r="C48" s="57" t="inlineStr">
        <is>
          <t>Chloé</t>
        </is>
      </c>
      <c r="D48" s="57" t="inlineStr">
        <is>
          <t>Muller</t>
        </is>
      </c>
      <c r="E48" s="57">
        <f>C48&amp;" "&amp;D48</f>
        <v/>
      </c>
      <c r="F48" s="57" t="inlineStr">
        <is>
          <t>chloe.muller@savencia-fromagedairy.example</t>
        </is>
      </c>
      <c r="G48" s="57" t="inlineStr">
        <is>
          <t>+33 1 99 00 59 72</t>
        </is>
      </c>
      <c r="H48" s="57" t="inlineStr">
        <is>
          <t>+33 6 39 98 72 95</t>
        </is>
      </c>
      <c r="I48" s="57" t="inlineStr">
        <is>
          <t>Cheffe de produit export</t>
        </is>
      </c>
      <c r="J48" s="57" t="inlineStr">
        <is>
          <t>Marketing</t>
        </is>
      </c>
      <c r="K48" s="57" t="inlineStr">
        <is>
          <t>Prescripteur</t>
        </is>
      </c>
      <c r="L48" s="57" t="inlineStr">
        <is>
          <t>Non</t>
        </is>
      </c>
      <c r="M48" s="57" t="inlineStr">
        <is>
          <t>E028</t>
        </is>
      </c>
      <c r="N48" s="57">
        <f>IFERROR(INDEX(Entreprises!$B$2:$B$3000,MATCH(M48,Entreprises!$A$2:$A$3000,0)),"")</f>
        <v/>
      </c>
      <c r="O48" s="57" t="inlineStr">
        <is>
          <t>U007</t>
        </is>
      </c>
      <c r="P48" s="57">
        <f>IFERROR(INDEX(Commerciaux!$D$2:$D$3000,MATCH(O48,Commerciaux!$A$2:$A$3000,0)),"")</f>
        <v/>
      </c>
      <c r="Q48" s="57" t="inlineStr">
        <is>
          <t>Client</t>
        </is>
      </c>
      <c r="R48" s="57" t="inlineStr">
        <is>
          <t>Connecté</t>
        </is>
      </c>
      <c r="S48" s="57" t="inlineStr">
        <is>
          <t>Salon professionnel</t>
        </is>
      </c>
      <c r="T48" s="57" t="inlineStr">
        <is>
          <t>E-mail</t>
        </is>
      </c>
      <c r="U48" s="57" t="inlineStr">
        <is>
          <t>Français</t>
        </is>
      </c>
      <c r="V48" s="58" t="n">
        <v>44509</v>
      </c>
      <c r="W48" s="58">
        <f>IF(COUNTIFS(Activités!$F$2:$F$3000,A48,Activités!$B$2:$B$3000,"&lt;="&amp;DateExport)=0,"",_xlfn.MAXIFS(Activités!$B$2:$B$3000,Activités!$F$2:$F$3000,A48,Activités!$B$2:$B$3000,"&lt;="&amp;DateExport))</f>
        <v/>
      </c>
      <c r="X48" s="60">
        <f>COUNTIFS(Activités!$F$2:$F$3000,A48,Activités!$B$2:$B$3000,"&gt;"&amp;(DateExport-365),Activités!$B$2:$B$3000,"&lt;="&amp;DateExport)</f>
        <v/>
      </c>
      <c r="Y48" s="57" t="inlineStr">
        <is>
          <t>Oui</t>
        </is>
      </c>
      <c r="Z48" s="40" t="inlineStr">
        <is>
          <t>Définit les mentions multilingues des étiquettes.</t>
        </is>
      </c>
    </row>
    <row r="49" ht="15" customHeight="1" s="34">
      <c r="A49" s="57" t="inlineStr">
        <is>
          <t>C048</t>
        </is>
      </c>
      <c r="B49" s="57" t="inlineStr">
        <is>
          <t>M.</t>
        </is>
      </c>
      <c r="C49" s="57" t="inlineStr">
        <is>
          <t>Vincent</t>
        </is>
      </c>
      <c r="D49" s="57" t="inlineStr">
        <is>
          <t>Brunet</t>
        </is>
      </c>
      <c r="E49" s="57">
        <f>C49&amp;" "&amp;D49</f>
        <v/>
      </c>
      <c r="F49" s="57" t="inlineStr">
        <is>
          <t>vincent.brunet@saint-gobain.example</t>
        </is>
      </c>
      <c r="G49" s="57" t="inlineStr">
        <is>
          <t>+33 1 99 00 62 79</t>
        </is>
      </c>
      <c r="H49" s="57" t="inlineStr">
        <is>
          <t>+33 6 39 98 77 21</t>
        </is>
      </c>
      <c r="I49" s="57" t="inlineStr">
        <is>
          <t>Directeur supply chain distribution</t>
        </is>
      </c>
      <c r="J49" s="57" t="inlineStr">
        <is>
          <t>Supply chain</t>
        </is>
      </c>
      <c r="K49" s="57" t="inlineStr">
        <is>
          <t>Décideur</t>
        </is>
      </c>
      <c r="L49" s="57" t="inlineStr">
        <is>
          <t>Oui</t>
        </is>
      </c>
      <c r="M49" s="57" t="inlineStr">
        <is>
          <t>E029</t>
        </is>
      </c>
      <c r="N49" s="57">
        <f>IFERROR(INDEX(Entreprises!$B$2:$B$3000,MATCH(M49,Entreprises!$A$2:$A$3000,0)),"")</f>
        <v/>
      </c>
      <c r="O49" s="57" t="inlineStr">
        <is>
          <t>U007</t>
        </is>
      </c>
      <c r="P49" s="57">
        <f>IFERROR(INDEX(Commerciaux!$D$2:$D$3000,MATCH(O49,Commerciaux!$A$2:$A$3000,0)),"")</f>
        <v/>
      </c>
      <c r="Q49" s="57" t="inlineStr">
        <is>
          <t>Prospect</t>
        </is>
      </c>
      <c r="R49" s="57" t="inlineStr">
        <is>
          <t>Tentative de contact</t>
        </is>
      </c>
      <c r="S49" s="57" t="inlineStr">
        <is>
          <t>Recommandation</t>
        </is>
      </c>
      <c r="T49" s="57" t="inlineStr">
        <is>
          <t>Visite</t>
        </is>
      </c>
      <c r="U49" s="57" t="inlineStr">
        <is>
          <t>Français</t>
        </is>
      </c>
      <c r="V49" s="58" t="n">
        <v>46209</v>
      </c>
      <c r="W49" s="58">
        <f>IF(COUNTIFS(Activités!$F$2:$F$3000,A49,Activités!$B$2:$B$3000,"&lt;="&amp;DateExport)=0,"",_xlfn.MAXIFS(Activités!$B$2:$B$3000,Activités!$F$2:$F$3000,A49,Activités!$B$2:$B$3000,"&lt;="&amp;DateExport))</f>
        <v/>
      </c>
      <c r="X49" s="60">
        <f>COUNTIFS(Activités!$F$2:$F$3000,A49,Activités!$B$2:$B$3000,"&gt;"&amp;(DateExport-365),Activités!$B$2:$B$3000,"&lt;="&amp;DateExport)</f>
        <v/>
      </c>
      <c r="Y49" s="57" t="inlineStr">
        <is>
          <t>Non</t>
        </is>
      </c>
      <c r="Z49" s="40" t="inlineStr">
        <is>
          <t>Introduit par une recommandation client.</t>
        </is>
      </c>
    </row>
    <row r="50" ht="15" customHeight="1" s="34">
      <c r="A50" s="57" t="inlineStr">
        <is>
          <t>C049</t>
        </is>
      </c>
      <c r="B50" s="57" t="inlineStr">
        <is>
          <t>Mme</t>
        </is>
      </c>
      <c r="C50" s="57" t="inlineStr">
        <is>
          <t>Nadia</t>
        </is>
      </c>
      <c r="D50" s="57" t="inlineStr">
        <is>
          <t>Haddad</t>
        </is>
      </c>
      <c r="E50" s="57">
        <f>C50&amp;" "&amp;D50</f>
        <v/>
      </c>
      <c r="F50" s="57" t="inlineStr">
        <is>
          <t>nadia.haddad@se.example</t>
        </is>
      </c>
      <c r="G50" s="57" t="inlineStr">
        <is>
          <t>+33 1 99 00 65 86</t>
        </is>
      </c>
      <c r="H50" s="57" t="inlineStr">
        <is>
          <t>+33 6 39 98 82 30</t>
        </is>
      </c>
      <c r="I50" s="57" t="inlineStr">
        <is>
          <t>Responsable achats emballages</t>
        </is>
      </c>
      <c r="J50" s="57" t="inlineStr">
        <is>
          <t>Achats</t>
        </is>
      </c>
      <c r="K50" s="57" t="inlineStr">
        <is>
          <t>Décideur</t>
        </is>
      </c>
      <c r="L50" s="57" t="inlineStr">
        <is>
          <t>Oui</t>
        </is>
      </c>
      <c r="M50" s="57" t="inlineStr">
        <is>
          <t>E030</t>
        </is>
      </c>
      <c r="N50" s="57">
        <f>IFERROR(INDEX(Entreprises!$B$2:$B$3000,MATCH(M50,Entreprises!$A$2:$A$3000,0)),"")</f>
        <v/>
      </c>
      <c r="O50" s="57" t="inlineStr">
        <is>
          <t>U007</t>
        </is>
      </c>
      <c r="P50" s="57">
        <f>IFERROR(INDEX(Commerciaux!$D$2:$D$3000,MATCH(O50,Commerciaux!$A$2:$A$3000,0)),"")</f>
        <v/>
      </c>
      <c r="Q50" s="57" t="inlineStr">
        <is>
          <t>Client</t>
        </is>
      </c>
      <c r="R50" s="57" t="inlineStr">
        <is>
          <t>Connecté</t>
        </is>
      </c>
      <c r="S50" s="57" t="inlineStr">
        <is>
          <t>Recommandation</t>
        </is>
      </c>
      <c r="T50" s="57" t="inlineStr">
        <is>
          <t>Visite</t>
        </is>
      </c>
      <c r="U50" s="57" t="inlineStr">
        <is>
          <t>Français</t>
        </is>
      </c>
      <c r="V50" s="58" t="n">
        <v>44665</v>
      </c>
      <c r="W50" s="58">
        <f>IF(COUNTIFS(Activités!$F$2:$F$3000,A50,Activités!$B$2:$B$3000,"&lt;="&amp;DateExport)=0,"",_xlfn.MAXIFS(Activités!$B$2:$B$3000,Activités!$F$2:$F$3000,A50,Activités!$B$2:$B$3000,"&lt;="&amp;DateExport))</f>
        <v/>
      </c>
      <c r="X50" s="60">
        <f>COUNTIFS(Activités!$F$2:$F$3000,A50,Activités!$B$2:$B$3000,"&gt;"&amp;(DateExport-365),Activités!$B$2:$B$3000,"&lt;="&amp;DateExport)</f>
        <v/>
      </c>
      <c r="Y50" s="57" t="inlineStr">
        <is>
          <t>Oui</t>
        </is>
      </c>
      <c r="Z50" s="40" t="inlineStr">
        <is>
          <t>Prépare le comité de sélection de fin octobre.</t>
        </is>
      </c>
    </row>
    <row r="51" ht="15" customHeight="1" s="34">
      <c r="A51" s="57" t="inlineStr">
        <is>
          <t>C050</t>
        </is>
      </c>
      <c r="B51" s="57" t="inlineStr">
        <is>
          <t>M.</t>
        </is>
      </c>
      <c r="C51" s="57" t="inlineStr">
        <is>
          <t>Pierre-Yves</t>
        </is>
      </c>
      <c r="D51" s="57" t="inlineStr">
        <is>
          <t>Guérin</t>
        </is>
      </c>
      <c r="E51" s="57">
        <f>C51&amp;" "&amp;D51</f>
        <v/>
      </c>
      <c r="F51" s="57" t="inlineStr">
        <is>
          <t>pierre-yves.guerin@se.example</t>
        </is>
      </c>
      <c r="G51" s="57" t="inlineStr">
        <is>
          <t>+33 1 99 00 68 93</t>
        </is>
      </c>
      <c r="H51" s="57" t="inlineStr">
        <is>
          <t>+33 6 39 98 87 39</t>
        </is>
      </c>
      <c r="I51" s="57" t="inlineStr">
        <is>
          <t>Ingénieur packaging durable</t>
        </is>
      </c>
      <c r="J51" s="57" t="inlineStr">
        <is>
          <t>R&amp;D</t>
        </is>
      </c>
      <c r="K51" s="57" t="inlineStr">
        <is>
          <t>Prescripteur</t>
        </is>
      </c>
      <c r="L51" s="57" t="inlineStr">
        <is>
          <t>Non</t>
        </is>
      </c>
      <c r="M51" s="57" t="inlineStr">
        <is>
          <t>E030</t>
        </is>
      </c>
      <c r="N51" s="57">
        <f>IFERROR(INDEX(Entreprises!$B$2:$B$3000,MATCH(M51,Entreprises!$A$2:$A$3000,0)),"")</f>
        <v/>
      </c>
      <c r="O51" s="57" t="inlineStr">
        <is>
          <t>U007</t>
        </is>
      </c>
      <c r="P51" s="57">
        <f>IFERROR(INDEX(Commerciaux!$D$2:$D$3000,MATCH(O51,Commerciaux!$A$2:$A$3000,0)),"")</f>
        <v/>
      </c>
      <c r="Q51" s="57" t="inlineStr">
        <is>
          <t>Client</t>
        </is>
      </c>
      <c r="R51" s="57" t="inlineStr">
        <is>
          <t>Connecté</t>
        </is>
      </c>
      <c r="S51" s="57" t="inlineStr">
        <is>
          <t>Recommandation</t>
        </is>
      </c>
      <c r="T51" s="57" t="inlineStr">
        <is>
          <t>Visio</t>
        </is>
      </c>
      <c r="U51" s="57" t="inlineStr">
        <is>
          <t>Français</t>
        </is>
      </c>
      <c r="V51" s="58" t="n">
        <v>44652</v>
      </c>
      <c r="W51" s="58">
        <f>IF(COUNTIFS(Activités!$F$2:$F$3000,A51,Activités!$B$2:$B$3000,"&lt;="&amp;DateExport)=0,"",_xlfn.MAXIFS(Activités!$B$2:$B$3000,Activités!$F$2:$F$3000,A51,Activités!$B$2:$B$3000,"&lt;="&amp;DateExport))</f>
        <v/>
      </c>
      <c r="X51" s="60">
        <f>COUNTIFS(Activités!$F$2:$F$3000,A51,Activités!$B$2:$B$3000,"&gt;"&amp;(DateExport-365),Activités!$B$2:$B$3000,"&lt;="&amp;DateExport)</f>
        <v/>
      </c>
      <c r="Y51" s="57" t="inlineStr">
        <is>
          <t>Oui</t>
        </is>
      </c>
      <c r="Z51" s="40" t="inlineStr">
        <is>
          <t>A validé nos tests de résistance.</t>
        </is>
      </c>
    </row>
  </sheetData>
  <dataValidations count="10">
    <dataValidation sqref="B2:B251" showDropDown="0" showInputMessage="0" showErrorMessage="1" allowBlank="1" errorTitle="Valeur non autorisée" error="Choisissez une valeur dans la liste." type="list" errorStyle="stop" operator="between">
      <formula1>Paramètres!$Y$7:$Y$8</formula1>
      <formula2>0</formula2>
    </dataValidation>
    <dataValidation sqref="K2:K251" showDropDown="0" showInputMessage="0" showErrorMessage="1" allowBlank="1" errorTitle="Valeur non autorisée" error="Choisissez une valeur dans la liste." type="list" errorStyle="stop" operator="between">
      <formula1>Paramètres!$R$7:$R$10</formula1>
      <formula2>0</formula2>
    </dataValidation>
    <dataValidation sqref="L2:L251" showDropDown="0" showInputMessage="0" showErrorMessage="1" allowBlank="1" errorTitle="Valeur non autorisée" error="Choisissez une valeur dans la liste." type="list" errorStyle="stop" operator="between">
      <formula1>Paramètres!$V$7:$V$8</formula1>
      <formula2>0</formula2>
    </dataValidation>
    <dataValidation sqref="Q2:Q251" showDropDown="0" showInputMessage="0" showErrorMessage="1" allowBlank="1" errorTitle="Valeur non autorisée" error="Choisissez une valeur dans la liste." type="list" errorStyle="stop" operator="between">
      <formula1>Paramètres!$G$7:$G$10</formula1>
      <formula2>0</formula2>
    </dataValidation>
    <dataValidation sqref="R2:R251" showDropDown="0" showInputMessage="0" showErrorMessage="1" allowBlank="1" errorTitle="Valeur non autorisée" error="Choisissez une valeur dans la liste." type="list" errorStyle="stop" operator="between">
      <formula1>Paramètres!$U$7:$U$12</formula1>
      <formula2>0</formula2>
    </dataValidation>
    <dataValidation sqref="S2:S251" showDropDown="0" showInputMessage="0" showErrorMessage="1" allowBlank="1" errorTitle="Valeur non autorisée" error="Choisissez une valeur dans la liste." type="list" errorStyle="stop" operator="between">
      <formula1>Paramètres!$T$7:$T$12</formula1>
      <formula2>0</formula2>
    </dataValidation>
    <dataValidation sqref="T2:T251" showDropDown="0" showInputMessage="0" showErrorMessage="1" allowBlank="1" errorTitle="Valeur non autorisée" error="Choisissez une valeur dans la liste." type="list" errorStyle="stop" operator="between">
      <formula1>Paramètres!$S$7:$S$10</formula1>
      <formula2>0</formula2>
    </dataValidation>
    <dataValidation sqref="Y2:Y251" showDropDown="0" showInputMessage="0" showErrorMessage="1" allowBlank="1" errorTitle="Valeur non autorisée" error="Choisissez une valeur dans la liste." type="list" errorStyle="stop" operator="between">
      <formula1>Paramètres!$V$7:$V$8</formula1>
      <formula2>0</formula2>
    </dataValidation>
    <dataValidation sqref="M2:M251" showDropDown="0" showInputMessage="0" showErrorMessage="1" allowBlank="1" errorTitle="Valeur non autorisée" error="Choisissez une valeur dans la liste." type="list" errorStyle="stop" operator="between">
      <formula1>Entreprises!$A$2:$A$3000</formula1>
      <formula2>0</formula2>
    </dataValidation>
    <dataValidation sqref="O2:O251" showDropDown="0" showInputMessage="0" showErrorMessage="1" allowBlank="1" errorTitle="Valeur non autorisée" error="Choisissez une valeur dans la liste." type="list" errorStyle="stop" operator="between">
      <formula1>Commerciaux!$A$2:$A$3000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7.xml><?xml version="1.0" encoding="utf-8"?>
<worksheet xmlns="http://schemas.openxmlformats.org/spreadsheetml/2006/main">
  <sheetPr filterMode="0">
    <outlinePr summaryBelow="1" summaryRight="1"/>
    <pageSetUpPr fitToPage="0"/>
  </sheetPr>
  <dimension ref="A1:W5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3" customWidth="1" style="33" min="1" max="1"/>
    <col width="50" customWidth="1" style="33" min="2" max="2"/>
    <col width="12" customWidth="1" style="33" min="3" max="3"/>
    <col width="20" customWidth="1" style="33" min="4" max="4"/>
    <col width="12" customWidth="1" style="33" min="5" max="5"/>
    <col width="20" customWidth="1" style="33" min="6" max="6"/>
    <col width="12" customWidth="1" style="33" min="7" max="7"/>
    <col width="18" customWidth="1" style="33" min="8" max="8"/>
    <col width="14" customWidth="1" style="33" min="9" max="9"/>
    <col width="22" customWidth="1" style="33" min="10" max="10"/>
    <col width="11" customWidth="1" style="33" min="11" max="11"/>
    <col width="14" customWidth="1" style="33" min="12" max="12"/>
    <col width="15" customWidth="1" style="33" min="13" max="13"/>
    <col width="10" customWidth="1" style="33" min="14" max="14"/>
    <col width="18" customWidth="1" style="33" min="15" max="15"/>
    <col width="12" customWidth="1" style="33" min="16" max="16"/>
    <col width="34" customWidth="1" style="33" min="17" max="17"/>
    <col width="13" customWidth="1" style="33" min="18" max="20"/>
    <col width="50" customWidth="1" style="33" min="21" max="21"/>
    <col width="20" customWidth="1" style="33" min="22" max="22"/>
    <col width="34" customWidth="1" style="33" min="23" max="23"/>
  </cols>
  <sheetData>
    <row r="1" ht="31.5" customHeight="1" s="34">
      <c r="A1" s="55" t="inlineStr">
        <is>
          <t>ID transaction</t>
        </is>
      </c>
      <c r="B1" s="55" t="inlineStr">
        <is>
          <t>Nom de la transaction</t>
        </is>
      </c>
      <c r="C1" s="55" t="inlineStr">
        <is>
          <t>ID entreprise</t>
        </is>
      </c>
      <c r="D1" s="56" t="inlineStr">
        <is>
          <t>Entreprise</t>
        </is>
      </c>
      <c r="E1" s="55" t="inlineStr">
        <is>
          <t>ID contact principal</t>
        </is>
      </c>
      <c r="F1" s="56" t="inlineStr">
        <is>
          <t>Contact principal</t>
        </is>
      </c>
      <c r="G1" s="55" t="inlineStr">
        <is>
          <t>ID propriétaire</t>
        </is>
      </c>
      <c r="H1" s="56" t="inlineStr">
        <is>
          <t>Propriétaire</t>
        </is>
      </c>
      <c r="I1" s="55" t="inlineStr">
        <is>
          <t>Pipeline</t>
        </is>
      </c>
      <c r="J1" s="55" t="inlineStr">
        <is>
          <t>Phase de la transaction</t>
        </is>
      </c>
      <c r="K1" s="56" t="inlineStr">
        <is>
          <t>Probabilité</t>
        </is>
      </c>
      <c r="L1" s="55" t="inlineStr">
        <is>
          <t>Montant (€)</t>
        </is>
      </c>
      <c r="M1" s="56" t="inlineStr">
        <is>
          <t>Montant pondéré (€)</t>
        </is>
      </c>
      <c r="N1" s="56" t="inlineStr">
        <is>
          <t>Statut</t>
        </is>
      </c>
      <c r="O1" s="55" t="inlineStr">
        <is>
          <t>Type de transaction</t>
        </is>
      </c>
      <c r="P1" s="55" t="inlineStr">
        <is>
          <t>ID produit principal</t>
        </is>
      </c>
      <c r="Q1" s="56" t="inlineStr">
        <is>
          <t>Produit principal</t>
        </is>
      </c>
      <c r="R1" s="55" t="inlineStr">
        <is>
          <t>Date de création</t>
        </is>
      </c>
      <c r="S1" s="55" t="inlineStr">
        <is>
          <t>Date de clôture prévue</t>
        </is>
      </c>
      <c r="T1" s="55" t="inlineStr">
        <is>
          <t>Date de clôture effective</t>
        </is>
      </c>
      <c r="U1" s="55" t="inlineStr">
        <is>
          <t>Prochaine étape</t>
        </is>
      </c>
      <c r="V1" s="55" t="inlineStr">
        <is>
          <t>Concurrent en lice</t>
        </is>
      </c>
      <c r="W1" s="55" t="inlineStr">
        <is>
          <t>Motif de perte</t>
        </is>
      </c>
    </row>
    <row r="2" ht="23.85" customHeight="1" s="34">
      <c r="A2" s="57" t="inlineStr">
        <is>
          <t>T001</t>
        </is>
      </c>
      <c r="B2" s="57" t="inlineStr">
        <is>
          <t>Bonduelle - Renouvellement accord-cadre étiquettes 2027</t>
        </is>
      </c>
      <c r="C2" s="57" t="inlineStr">
        <is>
          <t>E001</t>
        </is>
      </c>
      <c r="D2" s="57">
        <f>IFERROR(INDEX(Entreprises!$B$2:$B$3000,MATCH(C2,Entreprises!$A$2:$A$3000,0)),"")</f>
        <v/>
      </c>
      <c r="E2" s="57" t="inlineStr">
        <is>
          <t>C001</t>
        </is>
      </c>
      <c r="F2" s="57">
        <f>IFERROR(INDEX(Contacts!$E$2:$E$3000,MATCH(E2,Contacts!$A$2:$A$3000,0)),"")</f>
        <v/>
      </c>
      <c r="G2" s="57" t="inlineStr">
        <is>
          <t>U002</t>
        </is>
      </c>
      <c r="H2" s="57">
        <f>IFERROR(INDEX(Commerciaux!$D$2:$D$3000,MATCH(G2,Commerciaux!$A$2:$A$3000,0)),"")</f>
        <v/>
      </c>
      <c r="I2" s="57" t="inlineStr">
        <is>
          <t>Ventes terrain</t>
        </is>
      </c>
      <c r="J2" s="57" t="inlineStr">
        <is>
          <t>Contrat envoyé</t>
        </is>
      </c>
      <c r="K2" s="62">
        <f>IFERROR(INDEX(Paramètres!$B$7:$B$13,MATCH(J2,Paramètres!$A$7:$A$13,0)),"")</f>
        <v/>
      </c>
      <c r="L2" s="59" t="n">
        <v>186000</v>
      </c>
      <c r="M2" s="59">
        <f>IF(OR(L2="",K2=""),"",L2*K2)</f>
        <v/>
      </c>
      <c r="N2" s="57">
        <f>IFERROR(INDEX(Paramètres!$C$7:$C$13,MATCH(J2,Paramètres!$A$7:$A$13,0)),"")</f>
        <v/>
      </c>
      <c r="O2" s="57" t="inlineStr">
        <is>
          <t>Renouvellement</t>
        </is>
      </c>
      <c r="P2" s="57" t="inlineStr">
        <is>
          <t>P003</t>
        </is>
      </c>
      <c r="Q2" s="57">
        <f>IFERROR(INDEX(Produits!$C$2:$C$3000,MATCH(P2,Produits!$A$2:$A$3000,0)),"")</f>
        <v/>
      </c>
      <c r="R2" s="58" t="n">
        <v>46197</v>
      </c>
      <c r="S2" s="58" t="n">
        <v>46356</v>
      </c>
      <c r="T2" s="58" t="n"/>
      <c r="U2" s="40" t="inlineStr">
        <is>
          <t>Défendre la proposition et l'engagement sur les délais lors de la revue du 12/10</t>
        </is>
      </c>
      <c r="V2" s="57" t="inlineStr">
        <is>
          <t>Labelis Group</t>
        </is>
      </c>
      <c r="W2" s="57" t="n"/>
    </row>
    <row r="3" ht="15" customHeight="1" s="34">
      <c r="A3" s="57" t="inlineStr">
        <is>
          <t>T002</t>
        </is>
      </c>
      <c r="B3" s="57" t="inlineStr">
        <is>
          <t>Bonduelle - Emballages mono-matériau gamme bio</t>
        </is>
      </c>
      <c r="C3" s="57" t="inlineStr">
        <is>
          <t>E001</t>
        </is>
      </c>
      <c r="D3" s="57">
        <f>IFERROR(INDEX(Entreprises!$B$2:$B$3000,MATCH(C3,Entreprises!$A$2:$A$3000,0)),"")</f>
        <v/>
      </c>
      <c r="E3" s="57" t="inlineStr">
        <is>
          <t>C002</t>
        </is>
      </c>
      <c r="F3" s="57">
        <f>IFERROR(INDEX(Contacts!$E$2:$E$3000,MATCH(E3,Contacts!$A$2:$A$3000,0)),"")</f>
        <v/>
      </c>
      <c r="G3" s="57" t="inlineStr">
        <is>
          <t>U002</t>
        </is>
      </c>
      <c r="H3" s="57">
        <f>IFERROR(INDEX(Commerciaux!$D$2:$D$3000,MATCH(G3,Commerciaux!$A$2:$A$3000,0)),"")</f>
        <v/>
      </c>
      <c r="I3" s="57" t="inlineStr">
        <is>
          <t>Ventes terrain</t>
        </is>
      </c>
      <c r="J3" s="57" t="inlineStr">
        <is>
          <t>Qualifié pour achat</t>
        </is>
      </c>
      <c r="K3" s="62">
        <f>IFERROR(INDEX(Paramètres!$B$7:$B$13,MATCH(J3,Paramètres!$A$7:$A$13,0)),"")</f>
        <v/>
      </c>
      <c r="L3" s="59" t="n">
        <v>64000</v>
      </c>
      <c r="M3" s="59">
        <f>IF(OR(L3="",K3=""),"",L3*K3)</f>
        <v/>
      </c>
      <c r="N3" s="57">
        <f>IFERROR(INDEX(Paramètres!$C$7:$C$13,MATCH(J3,Paramètres!$A$7:$A$13,0)),"")</f>
        <v/>
      </c>
      <c r="O3" s="57" t="inlineStr">
        <is>
          <t>Nouvelle affaire</t>
        </is>
      </c>
      <c r="P3" s="57" t="inlineStr">
        <is>
          <t>P008</t>
        </is>
      </c>
      <c r="Q3" s="57">
        <f>IFERROR(INDEX(Produits!$C$2:$C$3000,MATCH(P3,Produits!$A$2:$A$3000,0)),"")</f>
        <v/>
      </c>
      <c r="R3" s="58" t="n">
        <v>46197</v>
      </c>
      <c r="S3" s="58" t="n">
        <v>46444</v>
      </c>
      <c r="T3" s="58" t="n"/>
      <c r="U3" s="40" t="inlineStr">
        <is>
          <t>Faire valider les échantillons papier certifié</t>
        </is>
      </c>
      <c r="V3" s="57" t="n"/>
      <c r="W3" s="57" t="n"/>
    </row>
    <row r="4" ht="15" customHeight="1" s="34">
      <c r="A4" s="57" t="inlineStr">
        <is>
          <t>T003</t>
        </is>
      </c>
      <c r="B4" s="57" t="inlineStr">
        <is>
          <t>Bonduelle - Caisses carton 2025</t>
        </is>
      </c>
      <c r="C4" s="57" t="inlineStr">
        <is>
          <t>E001</t>
        </is>
      </c>
      <c r="D4" s="57">
        <f>IFERROR(INDEX(Entreprises!$B$2:$B$3000,MATCH(C4,Entreprises!$A$2:$A$3000,0)),"")</f>
        <v/>
      </c>
      <c r="E4" s="57" t="inlineStr">
        <is>
          <t>C001</t>
        </is>
      </c>
      <c r="F4" s="57">
        <f>IFERROR(INDEX(Contacts!$E$2:$E$3000,MATCH(E4,Contacts!$A$2:$A$3000,0)),"")</f>
        <v/>
      </c>
      <c r="G4" s="57" t="inlineStr">
        <is>
          <t>U002</t>
        </is>
      </c>
      <c r="H4" s="57">
        <f>IFERROR(INDEX(Commerciaux!$D$2:$D$3000,MATCH(G4,Commerciaux!$A$2:$A$3000,0)),"")</f>
        <v/>
      </c>
      <c r="I4" s="57" t="inlineStr">
        <is>
          <t>Ventes terrain</t>
        </is>
      </c>
      <c r="J4" s="57" t="inlineStr">
        <is>
          <t>Conclu gagné</t>
        </is>
      </c>
      <c r="K4" s="62">
        <f>IFERROR(INDEX(Paramètres!$B$7:$B$13,MATCH(J4,Paramètres!$A$7:$A$13,0)),"")</f>
        <v/>
      </c>
      <c r="L4" s="59" t="n">
        <v>92000</v>
      </c>
      <c r="M4" s="59">
        <f>IF(OR(L4="",K4=""),"",L4*K4)</f>
        <v/>
      </c>
      <c r="N4" s="57">
        <f>IFERROR(INDEX(Paramètres!$C$7:$C$13,MATCH(J4,Paramètres!$A$7:$A$13,0)),"")</f>
        <v/>
      </c>
      <c r="O4" s="57" t="inlineStr">
        <is>
          <t>Affaire existante</t>
        </is>
      </c>
      <c r="P4" s="57" t="inlineStr">
        <is>
          <t>P007</t>
        </is>
      </c>
      <c r="Q4" s="57">
        <f>IFERROR(INDEX(Produits!$C$2:$C$3000,MATCH(P4,Produits!$A$2:$A$3000,0)),"")</f>
        <v/>
      </c>
      <c r="R4" s="58" t="n">
        <v>45600</v>
      </c>
      <c r="S4" s="58" t="n">
        <v>45672</v>
      </c>
      <c r="T4" s="58" t="n">
        <v>45672</v>
      </c>
      <c r="U4" s="40" t="n"/>
      <c r="V4" s="57" t="n"/>
      <c r="W4" s="57" t="n"/>
    </row>
    <row r="5" ht="23.85" customHeight="1" s="34">
      <c r="A5" s="57" t="inlineStr">
        <is>
          <t>T004</t>
        </is>
      </c>
      <c r="B5" s="57" t="inlineStr">
        <is>
          <t>Lesaffre - Encartonneuse ligne levure sèche</t>
        </is>
      </c>
      <c r="C5" s="57" t="inlineStr">
        <is>
          <t>E002</t>
        </is>
      </c>
      <c r="D5" s="57">
        <f>IFERROR(INDEX(Entreprises!$B$2:$B$3000,MATCH(C5,Entreprises!$A$2:$A$3000,0)),"")</f>
        <v/>
      </c>
      <c r="E5" s="57" t="inlineStr">
        <is>
          <t>C004</t>
        </is>
      </c>
      <c r="F5" s="57">
        <f>IFERROR(INDEX(Contacts!$E$2:$E$3000,MATCH(E5,Contacts!$A$2:$A$3000,0)),"")</f>
        <v/>
      </c>
      <c r="G5" s="57" t="inlineStr">
        <is>
          <t>U002</t>
        </is>
      </c>
      <c r="H5" s="57">
        <f>IFERROR(INDEX(Commerciaux!$D$2:$D$3000,MATCH(G5,Commerciaux!$A$2:$A$3000,0)),"")</f>
        <v/>
      </c>
      <c r="I5" s="57" t="inlineStr">
        <is>
          <t>Ventes terrain</t>
        </is>
      </c>
      <c r="J5" s="57" t="inlineStr">
        <is>
          <t>Présentation planifiée</t>
        </is>
      </c>
      <c r="K5" s="62">
        <f>IFERROR(INDEX(Paramètres!$B$7:$B$13,MATCH(J5,Paramètres!$A$7:$A$13,0)),"")</f>
        <v/>
      </c>
      <c r="L5" s="59" t="n">
        <v>148000</v>
      </c>
      <c r="M5" s="59">
        <f>IF(OR(L5="",K5=""),"",L5*K5)</f>
        <v/>
      </c>
      <c r="N5" s="57">
        <f>IFERROR(INDEX(Paramètres!$C$7:$C$13,MATCH(J5,Paramètres!$A$7:$A$13,0)),"")</f>
        <v/>
      </c>
      <c r="O5" s="57" t="inlineStr">
        <is>
          <t>Nouvelle affaire</t>
        </is>
      </c>
      <c r="P5" s="57" t="inlineStr">
        <is>
          <t>P011</t>
        </is>
      </c>
      <c r="Q5" s="57">
        <f>IFERROR(INDEX(Produits!$C$2:$C$3000,MATCH(P5,Produits!$A$2:$A$3000,0)),"")</f>
        <v/>
      </c>
      <c r="R5" s="58" t="n">
        <v>46282</v>
      </c>
      <c r="S5" s="58" t="n">
        <v>46371</v>
      </c>
      <c r="T5" s="58" t="n"/>
      <c r="U5" s="40" t="inlineStr">
        <is>
          <t>Démonstration de l'EC-200 le 12/10, puis chiffrage avec maintenance</t>
        </is>
      </c>
      <c r="V5" s="57" t="inlineStr">
        <is>
          <t>Emballor Industries</t>
        </is>
      </c>
      <c r="W5" s="57" t="n"/>
    </row>
    <row r="6" ht="15" customHeight="1" s="34">
      <c r="A6" s="57" t="inlineStr">
        <is>
          <t>T005</t>
        </is>
      </c>
      <c r="B6" s="57" t="inlineStr">
        <is>
          <t>Lesaffre - Étiquettes logistiques 2026</t>
        </is>
      </c>
      <c r="C6" s="57" t="inlineStr">
        <is>
          <t>E002</t>
        </is>
      </c>
      <c r="D6" s="57">
        <f>IFERROR(INDEX(Entreprises!$B$2:$B$3000,MATCH(C6,Entreprises!$A$2:$A$3000,0)),"")</f>
        <v/>
      </c>
      <c r="E6" s="57" t="inlineStr">
        <is>
          <t>C003</t>
        </is>
      </c>
      <c r="F6" s="57">
        <f>IFERROR(INDEX(Contacts!$E$2:$E$3000,MATCH(E6,Contacts!$A$2:$A$3000,0)),"")</f>
        <v/>
      </c>
      <c r="G6" s="57" t="inlineStr">
        <is>
          <t>U002</t>
        </is>
      </c>
      <c r="H6" s="57">
        <f>IFERROR(INDEX(Commerciaux!$D$2:$D$3000,MATCH(G6,Commerciaux!$A$2:$A$3000,0)),"")</f>
        <v/>
      </c>
      <c r="I6" s="57" t="inlineStr">
        <is>
          <t>Ventes terrain</t>
        </is>
      </c>
      <c r="J6" s="57" t="inlineStr">
        <is>
          <t>Conclu gagné</t>
        </is>
      </c>
      <c r="K6" s="62">
        <f>IFERROR(INDEX(Paramètres!$B$7:$B$13,MATCH(J6,Paramètres!$A$7:$A$13,0)),"")</f>
        <v/>
      </c>
      <c r="L6" s="59" t="n">
        <v>38000</v>
      </c>
      <c r="M6" s="59">
        <f>IF(OR(L6="",K6=""),"",L6*K6)</f>
        <v/>
      </c>
      <c r="N6" s="57">
        <f>IFERROR(INDEX(Paramètres!$C$7:$C$13,MATCH(J6,Paramètres!$A$7:$A$13,0)),"")</f>
        <v/>
      </c>
      <c r="O6" s="57" t="inlineStr">
        <is>
          <t>Affaire existante</t>
        </is>
      </c>
      <c r="P6" s="57" t="inlineStr">
        <is>
          <t>P003</t>
        </is>
      </c>
      <c r="Q6" s="57">
        <f>IFERROR(INDEX(Produits!$C$2:$C$3000,MATCH(P6,Produits!$A$2:$A$3000,0)),"")</f>
        <v/>
      </c>
      <c r="R6" s="58" t="n">
        <v>45964</v>
      </c>
      <c r="S6" s="58" t="n">
        <v>46042</v>
      </c>
      <c r="T6" s="58" t="n">
        <v>46042</v>
      </c>
      <c r="U6" s="40" t="n"/>
      <c r="V6" s="57" t="n"/>
      <c r="W6" s="57" t="n"/>
    </row>
    <row r="7" ht="15" customHeight="1" s="34">
      <c r="A7" s="57" t="inlineStr">
        <is>
          <t>T006</t>
        </is>
      </c>
      <c r="B7" s="57" t="inlineStr">
        <is>
          <t>Guerbet - Notices multilingues 2027</t>
        </is>
      </c>
      <c r="C7" s="57" t="inlineStr">
        <is>
          <t>E003</t>
        </is>
      </c>
      <c r="D7" s="57">
        <f>IFERROR(INDEX(Entreprises!$B$2:$B$3000,MATCH(C7,Entreprises!$A$2:$A$3000,0)),"")</f>
        <v/>
      </c>
      <c r="E7" s="57" t="inlineStr">
        <is>
          <t>C006</t>
        </is>
      </c>
      <c r="F7" s="57">
        <f>IFERROR(INDEX(Contacts!$E$2:$E$3000,MATCH(E7,Contacts!$A$2:$A$3000,0)),"")</f>
        <v/>
      </c>
      <c r="G7" s="57" t="inlineStr">
        <is>
          <t>U002</t>
        </is>
      </c>
      <c r="H7" s="57">
        <f>IFERROR(INDEX(Commerciaux!$D$2:$D$3000,MATCH(G7,Commerciaux!$A$2:$A$3000,0)),"")</f>
        <v/>
      </c>
      <c r="I7" s="57" t="inlineStr">
        <is>
          <t>Ventes terrain</t>
        </is>
      </c>
      <c r="J7" s="57" t="inlineStr">
        <is>
          <t>Qualifié pour achat</t>
        </is>
      </c>
      <c r="K7" s="62">
        <f>IFERROR(INDEX(Paramètres!$B$7:$B$13,MATCH(J7,Paramètres!$A$7:$A$13,0)),"")</f>
        <v/>
      </c>
      <c r="L7" s="59" t="n">
        <v>72000</v>
      </c>
      <c r="M7" s="59">
        <f>IF(OR(L7="",K7=""),"",L7*K7)</f>
        <v/>
      </c>
      <c r="N7" s="57">
        <f>IFERROR(INDEX(Paramètres!$C$7:$C$13,MATCH(J7,Paramètres!$A$7:$A$13,0)),"")</f>
        <v/>
      </c>
      <c r="O7" s="57" t="inlineStr">
        <is>
          <t>Nouvelle affaire</t>
        </is>
      </c>
      <c r="P7" s="57" t="inlineStr">
        <is>
          <t>P002</t>
        </is>
      </c>
      <c r="Q7" s="57">
        <f>IFERROR(INDEX(Produits!$C$2:$C$3000,MATCH(P7,Produits!$A$2:$A$3000,0)),"")</f>
        <v/>
      </c>
      <c r="R7" s="58" t="n">
        <v>46211</v>
      </c>
      <c r="S7" s="58" t="n">
        <v>46477</v>
      </c>
      <c r="T7" s="58" t="n"/>
      <c r="U7" s="40" t="inlineStr">
        <is>
          <t>Rassurer sur la qualité avant l'audit fournisseur de novembre</t>
        </is>
      </c>
      <c r="V7" s="57" t="inlineStr">
        <is>
          <t>Kartéa Pharma Pack</t>
        </is>
      </c>
      <c r="W7" s="57" t="n"/>
    </row>
    <row r="8" ht="15" customHeight="1" s="34">
      <c r="A8" s="57" t="inlineStr">
        <is>
          <t>T007</t>
        </is>
      </c>
      <c r="B8" s="57" t="inlineStr">
        <is>
          <t>Guerbet - Étiquettes d'inviolabilité</t>
        </is>
      </c>
      <c r="C8" s="57" t="inlineStr">
        <is>
          <t>E003</t>
        </is>
      </c>
      <c r="D8" s="57">
        <f>IFERROR(INDEX(Entreprises!$B$2:$B$3000,MATCH(C8,Entreprises!$A$2:$A$3000,0)),"")</f>
        <v/>
      </c>
      <c r="E8" s="57" t="inlineStr">
        <is>
          <t>C005</t>
        </is>
      </c>
      <c r="F8" s="57">
        <f>IFERROR(INDEX(Contacts!$E$2:$E$3000,MATCH(E8,Contacts!$A$2:$A$3000,0)),"")</f>
        <v/>
      </c>
      <c r="G8" s="57" t="inlineStr">
        <is>
          <t>U002</t>
        </is>
      </c>
      <c r="H8" s="57">
        <f>IFERROR(INDEX(Commerciaux!$D$2:$D$3000,MATCH(G8,Commerciaux!$A$2:$A$3000,0)),"")</f>
        <v/>
      </c>
      <c r="I8" s="57" t="inlineStr">
        <is>
          <t>Ventes terrain</t>
        </is>
      </c>
      <c r="J8" s="57" t="inlineStr">
        <is>
          <t>Conclu perdu</t>
        </is>
      </c>
      <c r="K8" s="62">
        <f>IFERROR(INDEX(Paramètres!$B$7:$B$13,MATCH(J8,Paramètres!$A$7:$A$13,0)),"")</f>
        <v/>
      </c>
      <c r="L8" s="59" t="n">
        <v>45000</v>
      </c>
      <c r="M8" s="59">
        <f>IF(OR(L8="",K8=""),"",L8*K8)</f>
        <v/>
      </c>
      <c r="N8" s="57">
        <f>IFERROR(INDEX(Paramètres!$C$7:$C$13,MATCH(J8,Paramètres!$A$7:$A$13,0)),"")</f>
        <v/>
      </c>
      <c r="O8" s="57" t="inlineStr">
        <is>
          <t>Nouvelle affaire</t>
        </is>
      </c>
      <c r="P8" s="57" t="inlineStr">
        <is>
          <t>P004</t>
        </is>
      </c>
      <c r="Q8" s="57">
        <f>IFERROR(INDEX(Produits!$C$2:$C$3000,MATCH(P8,Produits!$A$2:$A$3000,0)),"")</f>
        <v/>
      </c>
      <c r="R8" s="58" t="n">
        <v>46083</v>
      </c>
      <c r="S8" s="58" t="n">
        <v>46223</v>
      </c>
      <c r="T8" s="58" t="n">
        <v>46223</v>
      </c>
      <c r="U8" s="40" t="n"/>
      <c r="V8" s="57" t="inlineStr">
        <is>
          <t>Kartéa Pharma Pack</t>
        </is>
      </c>
      <c r="W8" s="57" t="inlineStr">
        <is>
          <t>Incident qualité sur un lot d'étuis en juin</t>
        </is>
      </c>
    </row>
    <row r="9" ht="15" customHeight="1" s="34">
      <c r="A9" s="57" t="inlineStr">
        <is>
          <t>T008</t>
        </is>
      </c>
      <c r="B9" s="57" t="inlineStr">
        <is>
          <t>Interparfums - Coffrets éditions limitées 2027</t>
        </is>
      </c>
      <c r="C9" s="57" t="inlineStr">
        <is>
          <t>E004</t>
        </is>
      </c>
      <c r="D9" s="57">
        <f>IFERROR(INDEX(Entreprises!$B$2:$B$3000,MATCH(C9,Entreprises!$A$2:$A$3000,0)),"")</f>
        <v/>
      </c>
      <c r="E9" s="57" t="inlineStr">
        <is>
          <t>C007</t>
        </is>
      </c>
      <c r="F9" s="57">
        <f>IFERROR(INDEX(Contacts!$E$2:$E$3000,MATCH(E9,Contacts!$A$2:$A$3000,0)),"")</f>
        <v/>
      </c>
      <c r="G9" s="57" t="inlineStr">
        <is>
          <t>U002</t>
        </is>
      </c>
      <c r="H9" s="57">
        <f>IFERROR(INDEX(Commerciaux!$D$2:$D$3000,MATCH(G9,Commerciaux!$A$2:$A$3000,0)),"")</f>
        <v/>
      </c>
      <c r="I9" s="57" t="inlineStr">
        <is>
          <t>Ventes terrain</t>
        </is>
      </c>
      <c r="J9" s="57" t="inlineStr">
        <is>
          <t>Rendez-vous programmé</t>
        </is>
      </c>
      <c r="K9" s="62">
        <f>IFERROR(INDEX(Paramètres!$B$7:$B$13,MATCH(J9,Paramètres!$A$7:$A$13,0)),"")</f>
        <v/>
      </c>
      <c r="L9" s="59" t="n">
        <v>95000</v>
      </c>
      <c r="M9" s="59">
        <f>IF(OR(L9="",K9=""),"",L9*K9)</f>
        <v/>
      </c>
      <c r="N9" s="57">
        <f>IFERROR(INDEX(Paramètres!$C$7:$C$13,MATCH(J9,Paramètres!$A$7:$A$13,0)),"")</f>
        <v/>
      </c>
      <c r="O9" s="57" t="inlineStr">
        <is>
          <t>Affaire existante</t>
        </is>
      </c>
      <c r="P9" s="57" t="inlineStr">
        <is>
          <t>P005</t>
        </is>
      </c>
      <c r="Q9" s="57">
        <f>IFERROR(INDEX(Produits!$C$2:$C$3000,MATCH(P9,Produits!$A$2:$A$3000,0)),"")</f>
        <v/>
      </c>
      <c r="R9" s="58" t="n">
        <v>46268</v>
      </c>
      <c r="S9" s="58" t="n">
        <v>46416</v>
      </c>
      <c r="T9" s="58" t="n"/>
      <c r="U9" s="40" t="inlineStr">
        <is>
          <t>Présenter trois maquettes de coffrets éco-conçus</t>
        </is>
      </c>
      <c r="V9" s="57" t="inlineStr">
        <is>
          <t>Cartonnages Vauclair</t>
        </is>
      </c>
      <c r="W9" s="57" t="n"/>
    </row>
    <row r="10" ht="15" customHeight="1" s="34">
      <c r="A10" s="57" t="inlineStr">
        <is>
          <t>T009</t>
        </is>
      </c>
      <c r="B10" s="57" t="inlineStr">
        <is>
          <t>Interparfums - Coffrets fin d'année 2026</t>
        </is>
      </c>
      <c r="C10" s="57" t="inlineStr">
        <is>
          <t>E004</t>
        </is>
      </c>
      <c r="D10" s="57">
        <f>IFERROR(INDEX(Entreprises!$B$2:$B$3000,MATCH(C10,Entreprises!$A$2:$A$3000,0)),"")</f>
        <v/>
      </c>
      <c r="E10" s="57" t="inlineStr">
        <is>
          <t>C007</t>
        </is>
      </c>
      <c r="F10" s="57">
        <f>IFERROR(INDEX(Contacts!$E$2:$E$3000,MATCH(E10,Contacts!$A$2:$A$3000,0)),"")</f>
        <v/>
      </c>
      <c r="G10" s="57" t="inlineStr">
        <is>
          <t>U002</t>
        </is>
      </c>
      <c r="H10" s="57">
        <f>IFERROR(INDEX(Commerciaux!$D$2:$D$3000,MATCH(G10,Commerciaux!$A$2:$A$3000,0)),"")</f>
        <v/>
      </c>
      <c r="I10" s="57" t="inlineStr">
        <is>
          <t>Ventes terrain</t>
        </is>
      </c>
      <c r="J10" s="57" t="inlineStr">
        <is>
          <t>Conclu gagné</t>
        </is>
      </c>
      <c r="K10" s="62">
        <f>IFERROR(INDEX(Paramètres!$B$7:$B$13,MATCH(J10,Paramètres!$A$7:$A$13,0)),"")</f>
        <v/>
      </c>
      <c r="L10" s="59" t="n">
        <v>118000</v>
      </c>
      <c r="M10" s="59">
        <f>IF(OR(L10="",K10=""),"",L10*K10)</f>
        <v/>
      </c>
      <c r="N10" s="57">
        <f>IFERROR(INDEX(Paramètres!$C$7:$C$13,MATCH(J10,Paramètres!$A$7:$A$13,0)),"")</f>
        <v/>
      </c>
      <c r="O10" s="57" t="inlineStr">
        <is>
          <t>Affaire existante</t>
        </is>
      </c>
      <c r="P10" s="57" t="inlineStr">
        <is>
          <t>P005</t>
        </is>
      </c>
      <c r="Q10" s="57">
        <f>IFERROR(INDEX(Produits!$C$2:$C$3000,MATCH(P10,Produits!$A$2:$A$3000,0)),"")</f>
        <v/>
      </c>
      <c r="R10" s="58" t="n">
        <v>46034</v>
      </c>
      <c r="S10" s="58" t="n">
        <v>46126</v>
      </c>
      <c r="T10" s="58" t="n">
        <v>46126</v>
      </c>
      <c r="U10" s="40" t="n"/>
      <c r="V10" s="57" t="n"/>
      <c r="W10" s="57" t="n"/>
    </row>
    <row r="11" ht="15" customHeight="1" s="34">
      <c r="A11" s="57" t="inlineStr">
        <is>
          <t>T010</t>
        </is>
      </c>
      <c r="B11" s="57" t="inlineStr">
        <is>
          <t>Clarins - Référencement second fournisseur étuis</t>
        </is>
      </c>
      <c r="C11" s="57" t="inlineStr">
        <is>
          <t>E005</t>
        </is>
      </c>
      <c r="D11" s="57">
        <f>IFERROR(INDEX(Entreprises!$B$2:$B$3000,MATCH(C11,Entreprises!$A$2:$A$3000,0)),"")</f>
        <v/>
      </c>
      <c r="E11" s="57" t="inlineStr">
        <is>
          <t>C009</t>
        </is>
      </c>
      <c r="F11" s="57">
        <f>IFERROR(INDEX(Contacts!$E$2:$E$3000,MATCH(E11,Contacts!$A$2:$A$3000,0)),"")</f>
        <v/>
      </c>
      <c r="G11" s="57" t="inlineStr">
        <is>
          <t>U002</t>
        </is>
      </c>
      <c r="H11" s="57">
        <f>IFERROR(INDEX(Commerciaux!$D$2:$D$3000,MATCH(G11,Commerciaux!$A$2:$A$3000,0)),"")</f>
        <v/>
      </c>
      <c r="I11" s="57" t="inlineStr">
        <is>
          <t>Ventes terrain</t>
        </is>
      </c>
      <c r="J11" s="57" t="inlineStr">
        <is>
          <t>Qualifié pour achat</t>
        </is>
      </c>
      <c r="K11" s="62">
        <f>IFERROR(INDEX(Paramètres!$B$7:$B$13,MATCH(J11,Paramètres!$A$7:$A$13,0)),"")</f>
        <v/>
      </c>
      <c r="L11" s="59" t="n">
        <v>150000</v>
      </c>
      <c r="M11" s="59">
        <f>IF(OR(L11="",K11=""),"",L11*K11)</f>
        <v/>
      </c>
      <c r="N11" s="57">
        <f>IFERROR(INDEX(Paramètres!$C$7:$C$13,MATCH(J11,Paramètres!$A$7:$A$13,0)),"")</f>
        <v/>
      </c>
      <c r="O11" s="57" t="inlineStr">
        <is>
          <t>Nouvelle affaire</t>
        </is>
      </c>
      <c r="P11" s="57" t="inlineStr">
        <is>
          <t>P008</t>
        </is>
      </c>
      <c r="Q11" s="57">
        <f>IFERROR(INDEX(Produits!$C$2:$C$3000,MATCH(P11,Produits!$A$2:$A$3000,0)),"")</f>
        <v/>
      </c>
      <c r="R11" s="58" t="n">
        <v>46037</v>
      </c>
      <c r="S11" s="58" t="n">
        <v>46461</v>
      </c>
      <c r="T11" s="58" t="n"/>
      <c r="U11" s="40" t="inlineStr">
        <is>
          <t>Envoyer les échantillons et la fiche RSE</t>
        </is>
      </c>
      <c r="V11" s="57" t="inlineStr">
        <is>
          <t>Cartonnages Vauclair</t>
        </is>
      </c>
      <c r="W11" s="57" t="n"/>
    </row>
    <row r="12" ht="15" customHeight="1" s="34">
      <c r="A12" s="57" t="inlineStr">
        <is>
          <t>T011</t>
        </is>
      </c>
      <c r="B12" s="57" t="inlineStr">
        <is>
          <t>Imerys - Emballages de transport minéraux</t>
        </is>
      </c>
      <c r="C12" s="57" t="inlineStr">
        <is>
          <t>E006</t>
        </is>
      </c>
      <c r="D12" s="57">
        <f>IFERROR(INDEX(Entreprises!$B$2:$B$3000,MATCH(C12,Entreprises!$A$2:$A$3000,0)),"")</f>
        <v/>
      </c>
      <c r="E12" s="57" t="inlineStr">
        <is>
          <t>C010</t>
        </is>
      </c>
      <c r="F12" s="57">
        <f>IFERROR(INDEX(Contacts!$E$2:$E$3000,MATCH(E12,Contacts!$A$2:$A$3000,0)),"")</f>
        <v/>
      </c>
      <c r="G12" s="57" t="inlineStr">
        <is>
          <t>U002</t>
        </is>
      </c>
      <c r="H12" s="57">
        <f>IFERROR(INDEX(Commerciaux!$D$2:$D$3000,MATCH(G12,Commerciaux!$A$2:$A$3000,0)),"")</f>
        <v/>
      </c>
      <c r="I12" s="57" t="inlineStr">
        <is>
          <t>Ventes terrain</t>
        </is>
      </c>
      <c r="J12" s="57" t="inlineStr">
        <is>
          <t>Rendez-vous programmé</t>
        </is>
      </c>
      <c r="K12" s="62">
        <f>IFERROR(INDEX(Paramètres!$B$7:$B$13,MATCH(J12,Paramètres!$A$7:$A$13,0)),"")</f>
        <v/>
      </c>
      <c r="L12" s="59" t="n">
        <v>60000</v>
      </c>
      <c r="M12" s="59">
        <f>IF(OR(L12="",K12=""),"",L12*K12)</f>
        <v/>
      </c>
      <c r="N12" s="57">
        <f>IFERROR(INDEX(Paramètres!$C$7:$C$13,MATCH(J12,Paramètres!$A$7:$A$13,0)),"")</f>
        <v/>
      </c>
      <c r="O12" s="57" t="inlineStr">
        <is>
          <t>Nouvelle affaire</t>
        </is>
      </c>
      <c r="P12" s="57" t="inlineStr">
        <is>
          <t>P007</t>
        </is>
      </c>
      <c r="Q12" s="57">
        <f>IFERROR(INDEX(Produits!$C$2:$C$3000,MATCH(P12,Produits!$A$2:$A$3000,0)),"")</f>
        <v/>
      </c>
      <c r="R12" s="58" t="n">
        <v>46267</v>
      </c>
      <c r="S12" s="58" t="n">
        <v>46507</v>
      </c>
      <c r="T12" s="58" t="n"/>
      <c r="U12" s="40" t="inlineStr">
        <is>
          <t>Premier rendez-vous de qualification le 27/10</t>
        </is>
      </c>
      <c r="V12" s="57" t="n"/>
      <c r="W12" s="57" t="n"/>
    </row>
    <row r="13" ht="15" customHeight="1" s="34">
      <c r="A13" s="57" t="inlineStr">
        <is>
          <t>T012</t>
        </is>
      </c>
      <c r="B13" s="57" t="inlineStr">
        <is>
          <t>Nexans - Harmonisation des étiquettes logistiques</t>
        </is>
      </c>
      <c r="C13" s="57" t="inlineStr">
        <is>
          <t>E007</t>
        </is>
      </c>
      <c r="D13" s="57">
        <f>IFERROR(INDEX(Entreprises!$B$2:$B$3000,MATCH(C13,Entreprises!$A$2:$A$3000,0)),"")</f>
        <v/>
      </c>
      <c r="E13" s="57" t="inlineStr">
        <is>
          <t>C011</t>
        </is>
      </c>
      <c r="F13" s="57">
        <f>IFERROR(INDEX(Contacts!$E$2:$E$3000,MATCH(E13,Contacts!$A$2:$A$3000,0)),"")</f>
        <v/>
      </c>
      <c r="G13" s="57" t="inlineStr">
        <is>
          <t>U002</t>
        </is>
      </c>
      <c r="H13" s="57">
        <f>IFERROR(INDEX(Commerciaux!$D$2:$D$3000,MATCH(G13,Commerciaux!$A$2:$A$3000,0)),"")</f>
        <v/>
      </c>
      <c r="I13" s="57" t="inlineStr">
        <is>
          <t>Ventes terrain</t>
        </is>
      </c>
      <c r="J13" s="57" t="inlineStr">
        <is>
          <t>Décideur impliqué</t>
        </is>
      </c>
      <c r="K13" s="62">
        <f>IFERROR(INDEX(Paramètres!$B$7:$B$13,MATCH(J13,Paramètres!$A$7:$A$13,0)),"")</f>
        <v/>
      </c>
      <c r="L13" s="59" t="n">
        <v>28000</v>
      </c>
      <c r="M13" s="59">
        <f>IF(OR(L13="",K13=""),"",L13*K13)</f>
        <v/>
      </c>
      <c r="N13" s="57">
        <f>IFERROR(INDEX(Paramètres!$C$7:$C$13,MATCH(J13,Paramètres!$A$7:$A$13,0)),"")</f>
        <v/>
      </c>
      <c r="O13" s="57" t="inlineStr">
        <is>
          <t>Affaire existante</t>
        </is>
      </c>
      <c r="P13" s="57" t="inlineStr">
        <is>
          <t>P013</t>
        </is>
      </c>
      <c r="Q13" s="57">
        <f>IFERROR(INDEX(Produits!$C$2:$C$3000,MATCH(P13,Produits!$A$2:$A$3000,0)),"")</f>
        <v/>
      </c>
      <c r="R13" s="58" t="n">
        <v>46161</v>
      </c>
      <c r="S13" s="58" t="n">
        <v>46346</v>
      </c>
      <c r="T13" s="58" t="n"/>
      <c r="U13" s="40" t="inlineStr">
        <is>
          <t>Restituer l'étude d'harmonisation</t>
        </is>
      </c>
      <c r="V13" s="57" t="n"/>
      <c r="W13" s="57" t="n"/>
    </row>
    <row r="14" ht="15" customHeight="1" s="34">
      <c r="A14" s="57" t="inlineStr">
        <is>
          <t>T013</t>
        </is>
      </c>
      <c r="B14" s="57" t="inlineStr">
        <is>
          <t>Moët &amp; Chandon - Étuis allégés 2027</t>
        </is>
      </c>
      <c r="C14" s="57" t="inlineStr">
        <is>
          <t>E008</t>
        </is>
      </c>
      <c r="D14" s="57">
        <f>IFERROR(INDEX(Entreprises!$B$2:$B$3000,MATCH(C14,Entreprises!$A$2:$A$3000,0)),"")</f>
        <v/>
      </c>
      <c r="E14" s="57" t="inlineStr">
        <is>
          <t>C013</t>
        </is>
      </c>
      <c r="F14" s="57">
        <f>IFERROR(INDEX(Contacts!$E$2:$E$3000,MATCH(E14,Contacts!$A$2:$A$3000,0)),"")</f>
        <v/>
      </c>
      <c r="G14" s="57" t="inlineStr">
        <is>
          <t>U003</t>
        </is>
      </c>
      <c r="H14" s="57">
        <f>IFERROR(INDEX(Commerciaux!$D$2:$D$3000,MATCH(G14,Commerciaux!$A$2:$A$3000,0)),"")</f>
        <v/>
      </c>
      <c r="I14" s="57" t="inlineStr">
        <is>
          <t>Ventes terrain</t>
        </is>
      </c>
      <c r="J14" s="57" t="inlineStr">
        <is>
          <t>Qualifié pour achat</t>
        </is>
      </c>
      <c r="K14" s="62">
        <f>IFERROR(INDEX(Paramètres!$B$7:$B$13,MATCH(J14,Paramètres!$A$7:$A$13,0)),"")</f>
        <v/>
      </c>
      <c r="L14" s="59" t="n">
        <v>240000</v>
      </c>
      <c r="M14" s="59">
        <f>IF(OR(L14="",K14=""),"",L14*K14)</f>
        <v/>
      </c>
      <c r="N14" s="57">
        <f>IFERROR(INDEX(Paramètres!$C$7:$C$13,MATCH(J14,Paramètres!$A$7:$A$13,0)),"")</f>
        <v/>
      </c>
      <c r="O14" s="57" t="inlineStr">
        <is>
          <t>Affaire existante</t>
        </is>
      </c>
      <c r="P14" s="57" t="inlineStr">
        <is>
          <t>P006</t>
        </is>
      </c>
      <c r="Q14" s="57">
        <f>IFERROR(INDEX(Produits!$C$2:$C$3000,MATCH(P14,Produits!$A$2:$A$3000,0)),"")</f>
        <v/>
      </c>
      <c r="R14" s="58" t="n">
        <v>46275</v>
      </c>
      <c r="S14" s="58" t="n">
        <v>46433</v>
      </c>
      <c r="T14" s="58" t="n"/>
      <c r="U14" s="40" t="inlineStr">
        <is>
          <t>Présenter les prototypes sans film plastique</t>
        </is>
      </c>
      <c r="V14" s="57" t="inlineStr">
        <is>
          <t>Kartéa Luxe</t>
        </is>
      </c>
      <c r="W14" s="57" t="n"/>
    </row>
    <row r="15" ht="15" customHeight="1" s="34">
      <c r="A15" s="57" t="inlineStr">
        <is>
          <t>T014</t>
        </is>
      </c>
      <c r="B15" s="57" t="inlineStr">
        <is>
          <t>Moët &amp; Chandon - Coffrets fin d'année 2026</t>
        </is>
      </c>
      <c r="C15" s="57" t="inlineStr">
        <is>
          <t>E008</t>
        </is>
      </c>
      <c r="D15" s="57">
        <f>IFERROR(INDEX(Entreprises!$B$2:$B$3000,MATCH(C15,Entreprises!$A$2:$A$3000,0)),"")</f>
        <v/>
      </c>
      <c r="E15" s="57" t="inlineStr">
        <is>
          <t>C012</t>
        </is>
      </c>
      <c r="F15" s="57">
        <f>IFERROR(INDEX(Contacts!$E$2:$E$3000,MATCH(E15,Contacts!$A$2:$A$3000,0)),"")</f>
        <v/>
      </c>
      <c r="G15" s="57" t="inlineStr">
        <is>
          <t>U003</t>
        </is>
      </c>
      <c r="H15" s="57">
        <f>IFERROR(INDEX(Commerciaux!$D$2:$D$3000,MATCH(G15,Commerciaux!$A$2:$A$3000,0)),"")</f>
        <v/>
      </c>
      <c r="I15" s="57" t="inlineStr">
        <is>
          <t>Ventes terrain</t>
        </is>
      </c>
      <c r="J15" s="57" t="inlineStr">
        <is>
          <t>Conclu gagné</t>
        </is>
      </c>
      <c r="K15" s="62">
        <f>IFERROR(INDEX(Paramètres!$B$7:$B$13,MATCH(J15,Paramètres!$A$7:$A$13,0)),"")</f>
        <v/>
      </c>
      <c r="L15" s="59" t="n">
        <v>310000</v>
      </c>
      <c r="M15" s="59">
        <f>IF(OR(L15="",K15=""),"",L15*K15)</f>
        <v/>
      </c>
      <c r="N15" s="57">
        <f>IFERROR(INDEX(Paramètres!$C$7:$C$13,MATCH(J15,Paramètres!$A$7:$A$13,0)),"")</f>
        <v/>
      </c>
      <c r="O15" s="57" t="inlineStr">
        <is>
          <t>Affaire existante</t>
        </is>
      </c>
      <c r="P15" s="57" t="inlineStr">
        <is>
          <t>P005</t>
        </is>
      </c>
      <c r="Q15" s="57">
        <f>IFERROR(INDEX(Produits!$C$2:$C$3000,MATCH(P15,Produits!$A$2:$A$3000,0)),"")</f>
        <v/>
      </c>
      <c r="R15" s="58" t="n">
        <v>45992</v>
      </c>
      <c r="S15" s="58" t="n">
        <v>46101</v>
      </c>
      <c r="T15" s="58" t="n">
        <v>46101</v>
      </c>
      <c r="U15" s="40" t="n"/>
      <c r="V15" s="57" t="n"/>
      <c r="W15" s="57" t="n"/>
    </row>
    <row r="16" ht="15" customHeight="1" s="34">
      <c r="A16" s="57" t="inlineStr">
        <is>
          <t>T015</t>
        </is>
      </c>
      <c r="B16" s="57" t="inlineStr">
        <is>
          <t>Laurent-Perrier - Étuis gamme rosé</t>
        </is>
      </c>
      <c r="C16" s="57" t="inlineStr">
        <is>
          <t>E009</t>
        </is>
      </c>
      <c r="D16" s="57">
        <f>IFERROR(INDEX(Entreprises!$B$2:$B$3000,MATCH(C16,Entreprises!$A$2:$A$3000,0)),"")</f>
        <v/>
      </c>
      <c r="E16" s="57" t="inlineStr">
        <is>
          <t>C015</t>
        </is>
      </c>
      <c r="F16" s="57">
        <f>IFERROR(INDEX(Contacts!$E$2:$E$3000,MATCH(E16,Contacts!$A$2:$A$3000,0)),"")</f>
        <v/>
      </c>
      <c r="G16" s="57" t="inlineStr">
        <is>
          <t>U003</t>
        </is>
      </c>
      <c r="H16" s="57">
        <f>IFERROR(INDEX(Commerciaux!$D$2:$D$3000,MATCH(G16,Commerciaux!$A$2:$A$3000,0)),"")</f>
        <v/>
      </c>
      <c r="I16" s="57" t="inlineStr">
        <is>
          <t>Ventes terrain</t>
        </is>
      </c>
      <c r="J16" s="57" t="inlineStr">
        <is>
          <t>Rendez-vous programmé</t>
        </is>
      </c>
      <c r="K16" s="62">
        <f>IFERROR(INDEX(Paramètres!$B$7:$B$13,MATCH(J16,Paramètres!$A$7:$A$13,0)),"")</f>
        <v/>
      </c>
      <c r="L16" s="59" t="n">
        <v>85000</v>
      </c>
      <c r="M16" s="59">
        <f>IF(OR(L16="",K16=""),"",L16*K16)</f>
        <v/>
      </c>
      <c r="N16" s="57">
        <f>IFERROR(INDEX(Paramètres!$C$7:$C$13,MATCH(J16,Paramètres!$A$7:$A$13,0)),"")</f>
        <v/>
      </c>
      <c r="O16" s="57" t="inlineStr">
        <is>
          <t>Affaire existante</t>
        </is>
      </c>
      <c r="P16" s="57" t="inlineStr">
        <is>
          <t>P006</t>
        </is>
      </c>
      <c r="Q16" s="57">
        <f>IFERROR(INDEX(Produits!$C$2:$C$3000,MATCH(P16,Produits!$A$2:$A$3000,0)),"")</f>
        <v/>
      </c>
      <c r="R16" s="58" t="n">
        <v>46184</v>
      </c>
      <c r="S16" s="58" t="n">
        <v>46402</v>
      </c>
      <c r="T16" s="58" t="n"/>
      <c r="U16" s="40" t="inlineStr">
        <is>
          <t>Atelier brief créatif</t>
        </is>
      </c>
      <c r="V16" s="57" t="n"/>
      <c r="W16" s="57" t="n"/>
    </row>
    <row r="17" ht="15" customHeight="1" s="34">
      <c r="A17" s="57" t="inlineStr">
        <is>
          <t>T016</t>
        </is>
      </c>
      <c r="B17" s="57" t="inlineStr">
        <is>
          <t>Vranken-Pommery - Coffrets premium 2027</t>
        </is>
      </c>
      <c r="C17" s="57" t="inlineStr">
        <is>
          <t>E010</t>
        </is>
      </c>
      <c r="D17" s="57">
        <f>IFERROR(INDEX(Entreprises!$B$2:$B$3000,MATCH(C17,Entreprises!$A$2:$A$3000,0)),"")</f>
        <v/>
      </c>
      <c r="E17" s="57" t="inlineStr">
        <is>
          <t>C016</t>
        </is>
      </c>
      <c r="F17" s="57">
        <f>IFERROR(INDEX(Contacts!$E$2:$E$3000,MATCH(E17,Contacts!$A$2:$A$3000,0)),"")</f>
        <v/>
      </c>
      <c r="G17" s="57" t="inlineStr">
        <is>
          <t>U003</t>
        </is>
      </c>
      <c r="H17" s="57">
        <f>IFERROR(INDEX(Commerciaux!$D$2:$D$3000,MATCH(G17,Commerciaux!$A$2:$A$3000,0)),"")</f>
        <v/>
      </c>
      <c r="I17" s="57" t="inlineStr">
        <is>
          <t>Ventes terrain</t>
        </is>
      </c>
      <c r="J17" s="57" t="inlineStr">
        <is>
          <t>Décideur impliqué</t>
        </is>
      </c>
      <c r="K17" s="62">
        <f>IFERROR(INDEX(Paramètres!$B$7:$B$13,MATCH(J17,Paramètres!$A$7:$A$13,0)),"")</f>
        <v/>
      </c>
      <c r="L17" s="59" t="n">
        <v>130000</v>
      </c>
      <c r="M17" s="59">
        <f>IF(OR(L17="",K17=""),"",L17*K17)</f>
        <v/>
      </c>
      <c r="N17" s="57">
        <f>IFERROR(INDEX(Paramètres!$C$7:$C$13,MATCH(J17,Paramètres!$A$7:$A$13,0)),"")</f>
        <v/>
      </c>
      <c r="O17" s="57" t="inlineStr">
        <is>
          <t>Nouvelle affaire</t>
        </is>
      </c>
      <c r="P17" s="57" t="inlineStr">
        <is>
          <t>P005</t>
        </is>
      </c>
      <c r="Q17" s="57">
        <f>IFERROR(INDEX(Produits!$C$2:$C$3000,MATCH(P17,Produits!$A$2:$A$3000,0)),"")</f>
        <v/>
      </c>
      <c r="R17" s="58" t="n">
        <v>45931</v>
      </c>
      <c r="S17" s="58" t="n">
        <v>46374</v>
      </c>
      <c r="T17" s="58" t="n"/>
      <c r="U17" s="40" t="inlineStr">
        <is>
          <t>Remettre la proposition chiffrée avant le 20/10</t>
        </is>
      </c>
      <c r="V17" s="57" t="inlineStr">
        <is>
          <t>Kartéa Luxe</t>
        </is>
      </c>
      <c r="W17" s="57" t="n"/>
    </row>
    <row r="18" ht="15" customHeight="1" s="34">
      <c r="A18" s="57" t="inlineStr">
        <is>
          <t>T017</t>
        </is>
      </c>
      <c r="B18" s="57" t="inlineStr">
        <is>
          <t>Kronenbourg - Caisses carton en flux tendu</t>
        </is>
      </c>
      <c r="C18" s="57" t="inlineStr">
        <is>
          <t>E011</t>
        </is>
      </c>
      <c r="D18" s="57">
        <f>IFERROR(INDEX(Entreprises!$B$2:$B$3000,MATCH(C18,Entreprises!$A$2:$A$3000,0)),"")</f>
        <v/>
      </c>
      <c r="E18" s="57" t="inlineStr">
        <is>
          <t>C017</t>
        </is>
      </c>
      <c r="F18" s="57">
        <f>IFERROR(INDEX(Contacts!$E$2:$E$3000,MATCH(E18,Contacts!$A$2:$A$3000,0)),"")</f>
        <v/>
      </c>
      <c r="G18" s="57" t="inlineStr">
        <is>
          <t>U003</t>
        </is>
      </c>
      <c r="H18" s="57">
        <f>IFERROR(INDEX(Commerciaux!$D$2:$D$3000,MATCH(G18,Commerciaux!$A$2:$A$3000,0)),"")</f>
        <v/>
      </c>
      <c r="I18" s="57" t="inlineStr">
        <is>
          <t>Ventes terrain</t>
        </is>
      </c>
      <c r="J18" s="57" t="inlineStr">
        <is>
          <t>Présentation planifiée</t>
        </is>
      </c>
      <c r="K18" s="62">
        <f>IFERROR(INDEX(Paramètres!$B$7:$B$13,MATCH(J18,Paramètres!$A$7:$A$13,0)),"")</f>
        <v/>
      </c>
      <c r="L18" s="59" t="n">
        <v>110000</v>
      </c>
      <c r="M18" s="59">
        <f>IF(OR(L18="",K18=""),"",L18*K18)</f>
        <v/>
      </c>
      <c r="N18" s="57">
        <f>IFERROR(INDEX(Paramètres!$C$7:$C$13,MATCH(J18,Paramètres!$A$7:$A$13,0)),"")</f>
        <v/>
      </c>
      <c r="O18" s="57" t="inlineStr">
        <is>
          <t>Affaire existante</t>
        </is>
      </c>
      <c r="P18" s="57" t="inlineStr">
        <is>
          <t>P007</t>
        </is>
      </c>
      <c r="Q18" s="57">
        <f>IFERROR(INDEX(Produits!$C$2:$C$3000,MATCH(P18,Produits!$A$2:$A$3000,0)),"")</f>
        <v/>
      </c>
      <c r="R18" s="58" t="n">
        <v>46261</v>
      </c>
      <c r="S18" s="58" t="n">
        <v>46367</v>
      </c>
      <c r="T18" s="58" t="n"/>
      <c r="U18" s="40" t="inlineStr">
        <is>
          <t>Présenter l'offre révisée avec livraison en flux tendu</t>
        </is>
      </c>
      <c r="V18" s="57" t="inlineStr">
        <is>
          <t>Emballor Industries</t>
        </is>
      </c>
      <c r="W18" s="57" t="n"/>
    </row>
    <row r="19" ht="15" customHeight="1" s="34">
      <c r="A19" s="57" t="inlineStr">
        <is>
          <t>T018</t>
        </is>
      </c>
      <c r="B19" s="57" t="inlineStr">
        <is>
          <t>Kronenbourg - Caisses carton 2026</t>
        </is>
      </c>
      <c r="C19" s="57" t="inlineStr">
        <is>
          <t>E011</t>
        </is>
      </c>
      <c r="D19" s="57">
        <f>IFERROR(INDEX(Entreprises!$B$2:$B$3000,MATCH(C19,Entreprises!$A$2:$A$3000,0)),"")</f>
        <v/>
      </c>
      <c r="E19" s="57" t="inlineStr">
        <is>
          <t>C017</t>
        </is>
      </c>
      <c r="F19" s="57">
        <f>IFERROR(INDEX(Contacts!$E$2:$E$3000,MATCH(E19,Contacts!$A$2:$A$3000,0)),"")</f>
        <v/>
      </c>
      <c r="G19" s="57" t="inlineStr">
        <is>
          <t>U003</t>
        </is>
      </c>
      <c r="H19" s="57">
        <f>IFERROR(INDEX(Commerciaux!$D$2:$D$3000,MATCH(G19,Commerciaux!$A$2:$A$3000,0)),"")</f>
        <v/>
      </c>
      <c r="I19" s="57" t="inlineStr">
        <is>
          <t>Ventes terrain</t>
        </is>
      </c>
      <c r="J19" s="57" t="inlineStr">
        <is>
          <t>Conclu perdu</t>
        </is>
      </c>
      <c r="K19" s="62">
        <f>IFERROR(INDEX(Paramètres!$B$7:$B$13,MATCH(J19,Paramètres!$A$7:$A$13,0)),"")</f>
        <v/>
      </c>
      <c r="L19" s="59" t="n">
        <v>140000</v>
      </c>
      <c r="M19" s="59">
        <f>IF(OR(L19="",K19=""),"",L19*K19)</f>
        <v/>
      </c>
      <c r="N19" s="57">
        <f>IFERROR(INDEX(Paramètres!$C$7:$C$13,MATCH(J19,Paramètres!$A$7:$A$13,0)),"")</f>
        <v/>
      </c>
      <c r="O19" s="57" t="inlineStr">
        <is>
          <t>Renouvellement</t>
        </is>
      </c>
      <c r="P19" s="57" t="inlineStr">
        <is>
          <t>P007</t>
        </is>
      </c>
      <c r="Q19" s="57">
        <f>IFERROR(INDEX(Produits!$C$2:$C$3000,MATCH(P19,Produits!$A$2:$A$3000,0)),"")</f>
        <v/>
      </c>
      <c r="R19" s="58" t="n">
        <v>45936</v>
      </c>
      <c r="S19" s="58" t="n">
        <v>46052</v>
      </c>
      <c r="T19" s="58" t="n">
        <v>46052</v>
      </c>
      <c r="U19" s="40" t="n"/>
      <c r="V19" s="57" t="inlineStr">
        <is>
          <t>Emballor Industries</t>
        </is>
      </c>
      <c r="W19" s="57" t="inlineStr">
        <is>
          <t>Prix (écart d'environ 7 %)</t>
        </is>
      </c>
    </row>
    <row r="20" ht="15" customHeight="1" s="34">
      <c r="A20" s="57" t="inlineStr">
        <is>
          <t>T019</t>
        </is>
      </c>
      <c r="B20" s="57" t="inlineStr">
        <is>
          <t>Kronenbourg - Contrat de maintenance étiqueteuses</t>
        </is>
      </c>
      <c r="C20" s="57" t="inlineStr">
        <is>
          <t>E011</t>
        </is>
      </c>
      <c r="D20" s="57">
        <f>IFERROR(INDEX(Entreprises!$B$2:$B$3000,MATCH(C20,Entreprises!$A$2:$A$3000,0)),"")</f>
        <v/>
      </c>
      <c r="E20" s="57" t="inlineStr">
        <is>
          <t>C018</t>
        </is>
      </c>
      <c r="F20" s="57">
        <f>IFERROR(INDEX(Contacts!$E$2:$E$3000,MATCH(E20,Contacts!$A$2:$A$3000,0)),"")</f>
        <v/>
      </c>
      <c r="G20" s="57" t="inlineStr">
        <is>
          <t>U003</t>
        </is>
      </c>
      <c r="H20" s="57">
        <f>IFERROR(INDEX(Commerciaux!$D$2:$D$3000,MATCH(G20,Commerciaux!$A$2:$A$3000,0)),"")</f>
        <v/>
      </c>
      <c r="I20" s="57" t="inlineStr">
        <is>
          <t>Ventes terrain</t>
        </is>
      </c>
      <c r="J20" s="57" t="inlineStr">
        <is>
          <t>Conclu gagné</t>
        </is>
      </c>
      <c r="K20" s="62">
        <f>IFERROR(INDEX(Paramètres!$B$7:$B$13,MATCH(J20,Paramètres!$A$7:$A$13,0)),"")</f>
        <v/>
      </c>
      <c r="L20" s="59" t="n">
        <v>19200</v>
      </c>
      <c r="M20" s="59">
        <f>IF(OR(L20="",K20=""),"",L20*K20)</f>
        <v/>
      </c>
      <c r="N20" s="57">
        <f>IFERROR(INDEX(Paramètres!$C$7:$C$13,MATCH(J20,Paramètres!$A$7:$A$13,0)),"")</f>
        <v/>
      </c>
      <c r="O20" s="57" t="inlineStr">
        <is>
          <t>Affaire existante</t>
        </is>
      </c>
      <c r="P20" s="57" t="inlineStr">
        <is>
          <t>P012</t>
        </is>
      </c>
      <c r="Q20" s="57">
        <f>IFERROR(INDEX(Produits!$C$2:$C$3000,MATCH(P20,Produits!$A$2:$A$3000,0)),"")</f>
        <v/>
      </c>
      <c r="R20" s="58" t="n">
        <v>45915</v>
      </c>
      <c r="S20" s="58" t="n">
        <v>45966</v>
      </c>
      <c r="T20" s="58" t="n">
        <v>45966</v>
      </c>
      <c r="U20" s="40" t="n"/>
      <c r="V20" s="57" t="n"/>
      <c r="W20" s="57" t="n"/>
    </row>
    <row r="21" ht="15" customHeight="1" s="34">
      <c r="A21" s="57" t="inlineStr">
        <is>
          <t>T020</t>
        </is>
      </c>
      <c r="B21" s="57" t="inlineStr">
        <is>
          <t>bioMérieux - Sérialisation kits export</t>
        </is>
      </c>
      <c r="C21" s="57" t="inlineStr">
        <is>
          <t>E012</t>
        </is>
      </c>
      <c r="D21" s="57">
        <f>IFERROR(INDEX(Entreprises!$B$2:$B$3000,MATCH(C21,Entreprises!$A$2:$A$3000,0)),"")</f>
        <v/>
      </c>
      <c r="E21" s="57" t="inlineStr">
        <is>
          <t>C020</t>
        </is>
      </c>
      <c r="F21" s="57">
        <f>IFERROR(INDEX(Contacts!$E$2:$E$3000,MATCH(E21,Contacts!$A$2:$A$3000,0)),"")</f>
        <v/>
      </c>
      <c r="G21" s="57" t="inlineStr">
        <is>
          <t>U004</t>
        </is>
      </c>
      <c r="H21" s="57">
        <f>IFERROR(INDEX(Commerciaux!$D$2:$D$3000,MATCH(G21,Commerciaux!$A$2:$A$3000,0)),"")</f>
        <v/>
      </c>
      <c r="I21" s="57" t="inlineStr">
        <is>
          <t>Ventes terrain</t>
        </is>
      </c>
      <c r="J21" s="57" t="inlineStr">
        <is>
          <t>Décideur impliqué</t>
        </is>
      </c>
      <c r="K21" s="62">
        <f>IFERROR(INDEX(Paramètres!$B$7:$B$13,MATCH(J21,Paramètres!$A$7:$A$13,0)),"")</f>
        <v/>
      </c>
      <c r="L21" s="59" t="n">
        <v>210000</v>
      </c>
      <c r="M21" s="59">
        <f>IF(OR(L21="",K21=""),"",L21*K21)</f>
        <v/>
      </c>
      <c r="N21" s="57">
        <f>IFERROR(INDEX(Paramètres!$C$7:$C$13,MATCH(J21,Paramètres!$A$7:$A$13,0)),"")</f>
        <v/>
      </c>
      <c r="O21" s="57" t="inlineStr">
        <is>
          <t>Nouvelle affaire</t>
        </is>
      </c>
      <c r="P21" s="57" t="inlineStr">
        <is>
          <t>P009</t>
        </is>
      </c>
      <c r="Q21" s="57">
        <f>IFERROR(INDEX(Produits!$C$2:$C$3000,MATCH(P21,Produits!$A$2:$A$3000,0)),"")</f>
        <v/>
      </c>
      <c r="R21" s="58" t="n">
        <v>46091</v>
      </c>
      <c r="S21" s="58" t="n">
        <v>46374</v>
      </c>
      <c r="T21" s="58" t="n"/>
      <c r="U21" s="40" t="inlineStr">
        <is>
          <t>Démonstration DataMatrix sur ligne pilote</t>
        </is>
      </c>
      <c r="V21" s="57" t="inlineStr">
        <is>
          <t>Kartéa Pharma Pack</t>
        </is>
      </c>
      <c r="W21" s="57" t="n"/>
    </row>
    <row r="22" ht="15" customHeight="1" s="34">
      <c r="A22" s="57" t="inlineStr">
        <is>
          <t>T021</t>
        </is>
      </c>
      <c r="B22" s="57" t="inlineStr">
        <is>
          <t>bioMérieux - Étuis kits diagnostic 2026</t>
        </is>
      </c>
      <c r="C22" s="57" t="inlineStr">
        <is>
          <t>E012</t>
        </is>
      </c>
      <c r="D22" s="57">
        <f>IFERROR(INDEX(Entreprises!$B$2:$B$3000,MATCH(C22,Entreprises!$A$2:$A$3000,0)),"")</f>
        <v/>
      </c>
      <c r="E22" s="57" t="inlineStr">
        <is>
          <t>C019</t>
        </is>
      </c>
      <c r="F22" s="57">
        <f>IFERROR(INDEX(Contacts!$E$2:$E$3000,MATCH(E22,Contacts!$A$2:$A$3000,0)),"")</f>
        <v/>
      </c>
      <c r="G22" s="57" t="inlineStr">
        <is>
          <t>U004</t>
        </is>
      </c>
      <c r="H22" s="57">
        <f>IFERROR(INDEX(Commerciaux!$D$2:$D$3000,MATCH(G22,Commerciaux!$A$2:$A$3000,0)),"")</f>
        <v/>
      </c>
      <c r="I22" s="57" t="inlineStr">
        <is>
          <t>Ventes terrain</t>
        </is>
      </c>
      <c r="J22" s="57" t="inlineStr">
        <is>
          <t>Conclu gagné</t>
        </is>
      </c>
      <c r="K22" s="62">
        <f>IFERROR(INDEX(Paramètres!$B$7:$B$13,MATCH(J22,Paramètres!$A$7:$A$13,0)),"")</f>
        <v/>
      </c>
      <c r="L22" s="59" t="n">
        <v>165000</v>
      </c>
      <c r="M22" s="59">
        <f>IF(OR(L22="",K22=""),"",L22*K22)</f>
        <v/>
      </c>
      <c r="N22" s="57">
        <f>IFERROR(INDEX(Paramètres!$C$7:$C$13,MATCH(J22,Paramètres!$A$7:$A$13,0)),"")</f>
        <v/>
      </c>
      <c r="O22" s="57" t="inlineStr">
        <is>
          <t>Renouvellement</t>
        </is>
      </c>
      <c r="P22" s="57" t="inlineStr">
        <is>
          <t>P001</t>
        </is>
      </c>
      <c r="Q22" s="57">
        <f>IFERROR(INDEX(Produits!$C$2:$C$3000,MATCH(P22,Produits!$A$2:$A$3000,0)),"")</f>
        <v/>
      </c>
      <c r="R22" s="58" t="n">
        <v>45922</v>
      </c>
      <c r="S22" s="58" t="n">
        <v>46001</v>
      </c>
      <c r="T22" s="58" t="n">
        <v>46001</v>
      </c>
      <c r="U22" s="40" t="n"/>
      <c r="V22" s="57" t="n"/>
      <c r="W22" s="57" t="n"/>
    </row>
    <row r="23" ht="15" customHeight="1" s="34">
      <c r="A23" s="57" t="inlineStr">
        <is>
          <t>T022</t>
        </is>
      </c>
      <c r="B23" s="57" t="inlineStr">
        <is>
          <t>Boiron - Étuis carton recyclé 2027-2028</t>
        </is>
      </c>
      <c r="C23" s="57" t="inlineStr">
        <is>
          <t>E013</t>
        </is>
      </c>
      <c r="D23" s="57">
        <f>IFERROR(INDEX(Entreprises!$B$2:$B$3000,MATCH(C23,Entreprises!$A$2:$A$3000,0)),"")</f>
        <v/>
      </c>
      <c r="E23" s="57" t="inlineStr">
        <is>
          <t>C021</t>
        </is>
      </c>
      <c r="F23" s="57">
        <f>IFERROR(INDEX(Contacts!$E$2:$E$3000,MATCH(E23,Contacts!$A$2:$A$3000,0)),"")</f>
        <v/>
      </c>
      <c r="G23" s="57" t="inlineStr">
        <is>
          <t>U004</t>
        </is>
      </c>
      <c r="H23" s="57">
        <f>IFERROR(INDEX(Commerciaux!$D$2:$D$3000,MATCH(G23,Commerciaux!$A$2:$A$3000,0)),"")</f>
        <v/>
      </c>
      <c r="I23" s="57" t="inlineStr">
        <is>
          <t>Ventes terrain</t>
        </is>
      </c>
      <c r="J23" s="57" t="inlineStr">
        <is>
          <t>Contrat envoyé</t>
        </is>
      </c>
      <c r="K23" s="62">
        <f>IFERROR(INDEX(Paramètres!$B$7:$B$13,MATCH(J23,Paramètres!$A$7:$A$13,0)),"")</f>
        <v/>
      </c>
      <c r="L23" s="59" t="n">
        <v>155000</v>
      </c>
      <c r="M23" s="59">
        <f>IF(OR(L23="",K23=""),"",L23*K23)</f>
        <v/>
      </c>
      <c r="N23" s="57">
        <f>IFERROR(INDEX(Paramètres!$C$7:$C$13,MATCH(J23,Paramètres!$A$7:$A$13,0)),"")</f>
        <v/>
      </c>
      <c r="O23" s="57" t="inlineStr">
        <is>
          <t>Renouvellement</t>
        </is>
      </c>
      <c r="P23" s="57" t="inlineStr">
        <is>
          <t>P008</t>
        </is>
      </c>
      <c r="Q23" s="57">
        <f>IFERROR(INDEX(Produits!$C$2:$C$3000,MATCH(P23,Produits!$A$2:$A$3000,0)),"")</f>
        <v/>
      </c>
      <c r="R23" s="58" t="n">
        <v>46203</v>
      </c>
      <c r="S23" s="58" t="n">
        <v>46332</v>
      </c>
      <c r="T23" s="58" t="n"/>
      <c r="U23" s="40" t="inlineStr">
        <is>
          <t>Signature prévue le 26/10</t>
        </is>
      </c>
      <c r="V23" s="57" t="n"/>
      <c r="W23" s="57" t="n"/>
    </row>
    <row r="24" ht="15" customHeight="1" s="34">
      <c r="A24" s="57" t="inlineStr">
        <is>
          <t>T023</t>
        </is>
      </c>
      <c r="B24" s="57" t="inlineStr">
        <is>
          <t>SEB - Calages carton sans polystyrène</t>
        </is>
      </c>
      <c r="C24" s="57" t="inlineStr">
        <is>
          <t>E014</t>
        </is>
      </c>
      <c r="D24" s="57">
        <f>IFERROR(INDEX(Entreprises!$B$2:$B$3000,MATCH(C24,Entreprises!$A$2:$A$3000,0)),"")</f>
        <v/>
      </c>
      <c r="E24" s="57" t="inlineStr">
        <is>
          <t>C024</t>
        </is>
      </c>
      <c r="F24" s="57">
        <f>IFERROR(INDEX(Contacts!$E$2:$E$3000,MATCH(E24,Contacts!$A$2:$A$3000,0)),"")</f>
        <v/>
      </c>
      <c r="G24" s="57" t="inlineStr">
        <is>
          <t>U004</t>
        </is>
      </c>
      <c r="H24" s="57">
        <f>IFERROR(INDEX(Commerciaux!$D$2:$D$3000,MATCH(G24,Commerciaux!$A$2:$A$3000,0)),"")</f>
        <v/>
      </c>
      <c r="I24" s="57" t="inlineStr">
        <is>
          <t>Ventes terrain</t>
        </is>
      </c>
      <c r="J24" s="57" t="inlineStr">
        <is>
          <t>Contrat envoyé</t>
        </is>
      </c>
      <c r="K24" s="62">
        <f>IFERROR(INDEX(Paramètres!$B$7:$B$13,MATCH(J24,Paramètres!$A$7:$A$13,0)),"")</f>
        <v/>
      </c>
      <c r="L24" s="59" t="n">
        <v>230000</v>
      </c>
      <c r="M24" s="59">
        <f>IF(OR(L24="",K24=""),"",L24*K24)</f>
        <v/>
      </c>
      <c r="N24" s="57">
        <f>IFERROR(INDEX(Paramètres!$C$7:$C$13,MATCH(J24,Paramètres!$A$7:$A$13,0)),"")</f>
        <v/>
      </c>
      <c r="O24" s="57" t="inlineStr">
        <is>
          <t>Nouvelle affaire</t>
        </is>
      </c>
      <c r="P24" s="57" t="inlineStr">
        <is>
          <t>P008</t>
        </is>
      </c>
      <c r="Q24" s="57">
        <f>IFERROR(INDEX(Produits!$C$2:$C$3000,MATCH(P24,Produits!$A$2:$A$3000,0)),"")</f>
        <v/>
      </c>
      <c r="R24" s="58" t="n">
        <v>46127</v>
      </c>
      <c r="S24" s="58" t="n">
        <v>46353</v>
      </c>
      <c r="T24" s="58" t="n"/>
      <c r="U24" s="40" t="inlineStr">
        <is>
          <t>Négocier le devis d'industrialisation</t>
        </is>
      </c>
      <c r="V24" s="57" t="inlineStr">
        <is>
          <t>Emballor Industries</t>
        </is>
      </c>
      <c r="W24" s="57" t="n"/>
    </row>
    <row r="25" ht="15" customHeight="1" s="34">
      <c r="A25" s="57" t="inlineStr">
        <is>
          <t>T024</t>
        </is>
      </c>
      <c r="B25" s="57" t="inlineStr">
        <is>
          <t>SEB - Caisses carton 2026</t>
        </is>
      </c>
      <c r="C25" s="57" t="inlineStr">
        <is>
          <t>E014</t>
        </is>
      </c>
      <c r="D25" s="57">
        <f>IFERROR(INDEX(Entreprises!$B$2:$B$3000,MATCH(C25,Entreprises!$A$2:$A$3000,0)),"")</f>
        <v/>
      </c>
      <c r="E25" s="57" t="inlineStr">
        <is>
          <t>C024</t>
        </is>
      </c>
      <c r="F25" s="57">
        <f>IFERROR(INDEX(Contacts!$E$2:$E$3000,MATCH(E25,Contacts!$A$2:$A$3000,0)),"")</f>
        <v/>
      </c>
      <c r="G25" s="57" t="inlineStr">
        <is>
          <t>U004</t>
        </is>
      </c>
      <c r="H25" s="57">
        <f>IFERROR(INDEX(Commerciaux!$D$2:$D$3000,MATCH(G25,Commerciaux!$A$2:$A$3000,0)),"")</f>
        <v/>
      </c>
      <c r="I25" s="57" t="inlineStr">
        <is>
          <t>Ventes terrain</t>
        </is>
      </c>
      <c r="J25" s="57" t="inlineStr">
        <is>
          <t>Conclu gagné</t>
        </is>
      </c>
      <c r="K25" s="62">
        <f>IFERROR(INDEX(Paramètres!$B$7:$B$13,MATCH(J25,Paramètres!$A$7:$A$13,0)),"")</f>
        <v/>
      </c>
      <c r="L25" s="59" t="n">
        <v>205000</v>
      </c>
      <c r="M25" s="59">
        <f>IF(OR(L25="",K25=""),"",L25*K25)</f>
        <v/>
      </c>
      <c r="N25" s="57">
        <f>IFERROR(INDEX(Paramètres!$C$7:$C$13,MATCH(J25,Paramètres!$A$7:$A$13,0)),"")</f>
        <v/>
      </c>
      <c r="O25" s="57" t="inlineStr">
        <is>
          <t>Renouvellement</t>
        </is>
      </c>
      <c r="P25" s="57" t="inlineStr">
        <is>
          <t>P007</t>
        </is>
      </c>
      <c r="Q25" s="57">
        <f>IFERROR(INDEX(Produits!$C$2:$C$3000,MATCH(P25,Produits!$A$2:$A$3000,0)),"")</f>
        <v/>
      </c>
      <c r="R25" s="58" t="n">
        <v>45931</v>
      </c>
      <c r="S25" s="58" t="n">
        <v>46009</v>
      </c>
      <c r="T25" s="58" t="n">
        <v>46009</v>
      </c>
      <c r="U25" s="40" t="n"/>
      <c r="V25" s="57" t="n"/>
      <c r="W25" s="57" t="n"/>
    </row>
    <row r="26" ht="15" customHeight="1" s="34">
      <c r="A26" s="57" t="inlineStr">
        <is>
          <t>T025</t>
        </is>
      </c>
      <c r="B26" s="57" t="inlineStr">
        <is>
          <t>Vicat - Étiquettes résistantes pour sacs</t>
        </is>
      </c>
      <c r="C26" s="57" t="inlineStr">
        <is>
          <t>E015</t>
        </is>
      </c>
      <c r="D26" s="57">
        <f>IFERROR(INDEX(Entreprises!$B$2:$B$3000,MATCH(C26,Entreprises!$A$2:$A$3000,0)),"")</f>
        <v/>
      </c>
      <c r="E26" s="57" t="inlineStr">
        <is>
          <t>C025</t>
        </is>
      </c>
      <c r="F26" s="57">
        <f>IFERROR(INDEX(Contacts!$E$2:$E$3000,MATCH(E26,Contacts!$A$2:$A$3000,0)),"")</f>
        <v/>
      </c>
      <c r="G26" s="57" t="inlineStr">
        <is>
          <t>U004</t>
        </is>
      </c>
      <c r="H26" s="57">
        <f>IFERROR(INDEX(Commerciaux!$D$2:$D$3000,MATCH(G26,Commerciaux!$A$2:$A$3000,0)),"")</f>
        <v/>
      </c>
      <c r="I26" s="57" t="inlineStr">
        <is>
          <t>Ventes terrain</t>
        </is>
      </c>
      <c r="J26" s="57" t="inlineStr">
        <is>
          <t>Rendez-vous programmé</t>
        </is>
      </c>
      <c r="K26" s="62">
        <f>IFERROR(INDEX(Paramètres!$B$7:$B$13,MATCH(J26,Paramètres!$A$7:$A$13,0)),"")</f>
        <v/>
      </c>
      <c r="L26" s="59" t="n">
        <v>45000</v>
      </c>
      <c r="M26" s="59">
        <f>IF(OR(L26="",K26=""),"",L26*K26)</f>
        <v/>
      </c>
      <c r="N26" s="57">
        <f>IFERROR(INDEX(Paramètres!$C$7:$C$13,MATCH(J26,Paramètres!$A$7:$A$13,0)),"")</f>
        <v/>
      </c>
      <c r="O26" s="57" t="inlineStr">
        <is>
          <t>Nouvelle affaire</t>
        </is>
      </c>
      <c r="P26" s="57" t="inlineStr">
        <is>
          <t>P003</t>
        </is>
      </c>
      <c r="Q26" s="57">
        <f>IFERROR(INDEX(Produits!$C$2:$C$3000,MATCH(P26,Produits!$A$2:$A$3000,0)),"")</f>
        <v/>
      </c>
      <c r="R26" s="58" t="n">
        <v>46275</v>
      </c>
      <c r="S26" s="58" t="n">
        <v>46477</v>
      </c>
      <c r="T26" s="58" t="n"/>
      <c r="U26" s="40" t="inlineStr">
        <is>
          <t>Visio de qualification le 29/10</t>
        </is>
      </c>
      <c r="V26" s="57" t="n"/>
      <c r="W26" s="57" t="n"/>
    </row>
    <row r="27" ht="15" customHeight="1" s="34">
      <c r="A27" s="57" t="inlineStr">
        <is>
          <t>T026</t>
        </is>
      </c>
      <c r="B27" s="57" t="inlineStr">
        <is>
          <t>Virbac - Sérialisation nouvelle ligne</t>
        </is>
      </c>
      <c r="C27" s="57" t="inlineStr">
        <is>
          <t>E016</t>
        </is>
      </c>
      <c r="D27" s="57">
        <f>IFERROR(INDEX(Entreprises!$B$2:$B$3000,MATCH(C27,Entreprises!$A$2:$A$3000,0)),"")</f>
        <v/>
      </c>
      <c r="E27" s="57" t="inlineStr">
        <is>
          <t>C026</t>
        </is>
      </c>
      <c r="F27" s="57">
        <f>IFERROR(INDEX(Contacts!$E$2:$E$3000,MATCH(E27,Contacts!$A$2:$A$3000,0)),"")</f>
        <v/>
      </c>
      <c r="G27" s="57" t="inlineStr">
        <is>
          <t>U004</t>
        </is>
      </c>
      <c r="H27" s="57">
        <f>IFERROR(INDEX(Commerciaux!$D$2:$D$3000,MATCH(G27,Commerciaux!$A$2:$A$3000,0)),"")</f>
        <v/>
      </c>
      <c r="I27" s="57" t="inlineStr">
        <is>
          <t>Ventes terrain</t>
        </is>
      </c>
      <c r="J27" s="57" t="inlineStr">
        <is>
          <t>Présentation planifiée</t>
        </is>
      </c>
      <c r="K27" s="62">
        <f>IFERROR(INDEX(Paramètres!$B$7:$B$13,MATCH(J27,Paramètres!$A$7:$A$13,0)),"")</f>
        <v/>
      </c>
      <c r="L27" s="59" t="n">
        <v>185000</v>
      </c>
      <c r="M27" s="59">
        <f>IF(OR(L27="",K27=""),"",L27*K27)</f>
        <v/>
      </c>
      <c r="N27" s="57">
        <f>IFERROR(INDEX(Paramètres!$C$7:$C$13,MATCH(J27,Paramètres!$A$7:$A$13,0)),"")</f>
        <v/>
      </c>
      <c r="O27" s="57" t="inlineStr">
        <is>
          <t>Nouvelle affaire</t>
        </is>
      </c>
      <c r="P27" s="57" t="inlineStr">
        <is>
          <t>P009</t>
        </is>
      </c>
      <c r="Q27" s="57">
        <f>IFERROR(INDEX(Produits!$C$2:$C$3000,MATCH(P27,Produits!$A$2:$A$3000,0)),"")</f>
        <v/>
      </c>
      <c r="R27" s="58" t="n">
        <v>45994</v>
      </c>
      <c r="S27" s="58" t="n">
        <v>46416</v>
      </c>
      <c r="T27" s="58" t="n"/>
      <c r="U27" s="40" t="inlineStr">
        <is>
          <t>Présenter l'organisation SAV Sud-Est et une référence client</t>
        </is>
      </c>
      <c r="V27" s="57" t="inlineStr">
        <is>
          <t>Kartéa Pharma Pack</t>
        </is>
      </c>
      <c r="W27" s="57" t="n"/>
    </row>
    <row r="28" ht="15" customHeight="1" s="34">
      <c r="A28" s="57" t="inlineStr">
        <is>
          <t>T027</t>
        </is>
      </c>
      <c r="B28" s="57" t="inlineStr">
        <is>
          <t>Rémy Cointreau - Coffret réutilisable premium</t>
        </is>
      </c>
      <c r="C28" s="57" t="inlineStr">
        <is>
          <t>E017</t>
        </is>
      </c>
      <c r="D28" s="57">
        <f>IFERROR(INDEX(Entreprises!$B$2:$B$3000,MATCH(C28,Entreprises!$A$2:$A$3000,0)),"")</f>
        <v/>
      </c>
      <c r="E28" s="57" t="inlineStr">
        <is>
          <t>C028</t>
        </is>
      </c>
      <c r="F28" s="57">
        <f>IFERROR(INDEX(Contacts!$E$2:$E$3000,MATCH(E28,Contacts!$A$2:$A$3000,0)),"")</f>
        <v/>
      </c>
      <c r="G28" s="57" t="inlineStr">
        <is>
          <t>U005</t>
        </is>
      </c>
      <c r="H28" s="57">
        <f>IFERROR(INDEX(Commerciaux!$D$2:$D$3000,MATCH(G28,Commerciaux!$A$2:$A$3000,0)),"")</f>
        <v/>
      </c>
      <c r="I28" s="57" t="inlineStr">
        <is>
          <t>Ventes terrain</t>
        </is>
      </c>
      <c r="J28" s="57" t="inlineStr">
        <is>
          <t>Qualifié pour achat</t>
        </is>
      </c>
      <c r="K28" s="62">
        <f>IFERROR(INDEX(Paramètres!$B$7:$B$13,MATCH(J28,Paramètres!$A$7:$A$13,0)),"")</f>
        <v/>
      </c>
      <c r="L28" s="59" t="n">
        <v>175000</v>
      </c>
      <c r="M28" s="59">
        <f>IF(OR(L28="",K28=""),"",L28*K28)</f>
        <v/>
      </c>
      <c r="N28" s="57">
        <f>IFERROR(INDEX(Paramètres!$C$7:$C$13,MATCH(J28,Paramètres!$A$7:$A$13,0)),"")</f>
        <v/>
      </c>
      <c r="O28" s="57" t="inlineStr">
        <is>
          <t>Nouvelle affaire</t>
        </is>
      </c>
      <c r="P28" s="57" t="inlineStr">
        <is>
          <t>P005</t>
        </is>
      </c>
      <c r="Q28" s="57">
        <f>IFERROR(INDEX(Produits!$C$2:$C$3000,MATCH(P28,Produits!$A$2:$A$3000,0)),"")</f>
        <v/>
      </c>
      <c r="R28" s="58" t="n">
        <v>46266</v>
      </c>
      <c r="S28" s="58" t="n">
        <v>46458</v>
      </c>
      <c r="T28" s="58" t="n"/>
      <c r="U28" s="40" t="inlineStr">
        <is>
          <t>Présenter un concept de coffret réutilisable</t>
        </is>
      </c>
      <c r="V28" s="57" t="inlineStr">
        <is>
          <t>Kartéa Luxe</t>
        </is>
      </c>
      <c r="W28" s="57" t="n"/>
    </row>
    <row r="29" ht="15" customHeight="1" s="34">
      <c r="A29" s="57" t="inlineStr">
        <is>
          <t>T028</t>
        </is>
      </c>
      <c r="B29" s="57" t="inlineStr">
        <is>
          <t>Rémy Cointreau - Étuis saison 2026</t>
        </is>
      </c>
      <c r="C29" s="57" t="inlineStr">
        <is>
          <t>E017</t>
        </is>
      </c>
      <c r="D29" s="57">
        <f>IFERROR(INDEX(Entreprises!$B$2:$B$3000,MATCH(C29,Entreprises!$A$2:$A$3000,0)),"")</f>
        <v/>
      </c>
      <c r="E29" s="57" t="inlineStr">
        <is>
          <t>C027</t>
        </is>
      </c>
      <c r="F29" s="57">
        <f>IFERROR(INDEX(Contacts!$E$2:$E$3000,MATCH(E29,Contacts!$A$2:$A$3000,0)),"")</f>
        <v/>
      </c>
      <c r="G29" s="57" t="inlineStr">
        <is>
          <t>U005</t>
        </is>
      </c>
      <c r="H29" s="57">
        <f>IFERROR(INDEX(Commerciaux!$D$2:$D$3000,MATCH(G29,Commerciaux!$A$2:$A$3000,0)),"")</f>
        <v/>
      </c>
      <c r="I29" s="57" t="inlineStr">
        <is>
          <t>Ventes terrain</t>
        </is>
      </c>
      <c r="J29" s="57" t="inlineStr">
        <is>
          <t>Conclu gagné</t>
        </is>
      </c>
      <c r="K29" s="62">
        <f>IFERROR(INDEX(Paramètres!$B$7:$B$13,MATCH(J29,Paramètres!$A$7:$A$13,0)),"")</f>
        <v/>
      </c>
      <c r="L29" s="59" t="n">
        <v>260000</v>
      </c>
      <c r="M29" s="59">
        <f>IF(OR(L29="",K29=""),"",L29*K29)</f>
        <v/>
      </c>
      <c r="N29" s="57">
        <f>IFERROR(INDEX(Paramètres!$C$7:$C$13,MATCH(J29,Paramètres!$A$7:$A$13,0)),"")</f>
        <v/>
      </c>
      <c r="O29" s="57" t="inlineStr">
        <is>
          <t>Renouvellement</t>
        </is>
      </c>
      <c r="P29" s="57" t="inlineStr">
        <is>
          <t>P006</t>
        </is>
      </c>
      <c r="Q29" s="57">
        <f>IFERROR(INDEX(Produits!$C$2:$C$3000,MATCH(P29,Produits!$A$2:$A$3000,0)),"")</f>
        <v/>
      </c>
      <c r="R29" s="58" t="n">
        <v>45978</v>
      </c>
      <c r="S29" s="58" t="n">
        <v>46080</v>
      </c>
      <c r="T29" s="58" t="n">
        <v>46080</v>
      </c>
      <c r="U29" s="40" t="n"/>
      <c r="V29" s="57" t="n"/>
      <c r="W29" s="57" t="n"/>
    </row>
    <row r="30" ht="15" customHeight="1" s="34">
      <c r="A30" s="57" t="inlineStr">
        <is>
          <t>T029</t>
        </is>
      </c>
      <c r="B30" s="57" t="inlineStr">
        <is>
          <t>Maison Ferrand - Étuis édition limitée</t>
        </is>
      </c>
      <c r="C30" s="57" t="inlineStr">
        <is>
          <t>E018</t>
        </is>
      </c>
      <c r="D30" s="57">
        <f>IFERROR(INDEX(Entreprises!$B$2:$B$3000,MATCH(C30,Entreprises!$A$2:$A$3000,0)),"")</f>
        <v/>
      </c>
      <c r="E30" s="57" t="inlineStr">
        <is>
          <t>C029</t>
        </is>
      </c>
      <c r="F30" s="57">
        <f>IFERROR(INDEX(Contacts!$E$2:$E$3000,MATCH(E30,Contacts!$A$2:$A$3000,0)),"")</f>
        <v/>
      </c>
      <c r="G30" s="57" t="inlineStr">
        <is>
          <t>U005</t>
        </is>
      </c>
      <c r="H30" s="57">
        <f>IFERROR(INDEX(Commerciaux!$D$2:$D$3000,MATCH(G30,Commerciaux!$A$2:$A$3000,0)),"")</f>
        <v/>
      </c>
      <c r="I30" s="57" t="inlineStr">
        <is>
          <t>Ventes terrain</t>
        </is>
      </c>
      <c r="J30" s="57" t="inlineStr">
        <is>
          <t>Contrat envoyé</t>
        </is>
      </c>
      <c r="K30" s="62">
        <f>IFERROR(INDEX(Paramètres!$B$7:$B$13,MATCH(J30,Paramètres!$A$7:$A$13,0)),"")</f>
        <v/>
      </c>
      <c r="L30" s="59" t="n">
        <v>24000</v>
      </c>
      <c r="M30" s="59">
        <f>IF(OR(L30="",K30=""),"",L30*K30)</f>
        <v/>
      </c>
      <c r="N30" s="57">
        <f>IFERROR(INDEX(Paramètres!$C$7:$C$13,MATCH(J30,Paramètres!$A$7:$A$13,0)),"")</f>
        <v/>
      </c>
      <c r="O30" s="57" t="inlineStr">
        <is>
          <t>Affaire existante</t>
        </is>
      </c>
      <c r="P30" s="57" t="inlineStr">
        <is>
          <t>P006</t>
        </is>
      </c>
      <c r="Q30" s="57">
        <f>IFERROR(INDEX(Produits!$C$2:$C$3000,MATCH(P30,Produits!$A$2:$A$3000,0)),"")</f>
        <v/>
      </c>
      <c r="R30" s="58" t="n">
        <v>46254</v>
      </c>
      <c r="S30" s="58" t="n">
        <v>46318</v>
      </c>
      <c r="T30" s="58" t="n"/>
      <c r="U30" s="40" t="inlineStr">
        <is>
          <t>Valider le BAT</t>
        </is>
      </c>
      <c r="V30" s="57" t="n"/>
      <c r="W30" s="57" t="n"/>
    </row>
    <row r="31" ht="15" customHeight="1" s="34">
      <c r="A31" s="57" t="inlineStr">
        <is>
          <t>T030</t>
        </is>
      </c>
      <c r="B31" s="57" t="inlineStr">
        <is>
          <t>Pierre Fabre - Renouvellement contrat étuis 2027</t>
        </is>
      </c>
      <c r="C31" s="57" t="inlineStr">
        <is>
          <t>E019</t>
        </is>
      </c>
      <c r="D31" s="57">
        <f>IFERROR(INDEX(Entreprises!$B$2:$B$3000,MATCH(C31,Entreprises!$A$2:$A$3000,0)),"")</f>
        <v/>
      </c>
      <c r="E31" s="57" t="inlineStr">
        <is>
          <t>C030</t>
        </is>
      </c>
      <c r="F31" s="57">
        <f>IFERROR(INDEX(Contacts!$E$2:$E$3000,MATCH(E31,Contacts!$A$2:$A$3000,0)),"")</f>
        <v/>
      </c>
      <c r="G31" s="57" t="inlineStr">
        <is>
          <t>U005</t>
        </is>
      </c>
      <c r="H31" s="57">
        <f>IFERROR(INDEX(Commerciaux!$D$2:$D$3000,MATCH(G31,Commerciaux!$A$2:$A$3000,0)),"")</f>
        <v/>
      </c>
      <c r="I31" s="57" t="inlineStr">
        <is>
          <t>Ventes terrain</t>
        </is>
      </c>
      <c r="J31" s="57" t="inlineStr">
        <is>
          <t>Décideur impliqué</t>
        </is>
      </c>
      <c r="K31" s="62">
        <f>IFERROR(INDEX(Paramètres!$B$7:$B$13,MATCH(J31,Paramètres!$A$7:$A$13,0)),"")</f>
        <v/>
      </c>
      <c r="L31" s="59" t="n">
        <v>290000</v>
      </c>
      <c r="M31" s="59">
        <f>IF(OR(L31="",K31=""),"",L31*K31)</f>
        <v/>
      </c>
      <c r="N31" s="57">
        <f>IFERROR(INDEX(Paramètres!$C$7:$C$13,MATCH(J31,Paramètres!$A$7:$A$13,0)),"")</f>
        <v/>
      </c>
      <c r="O31" s="57" t="inlineStr">
        <is>
          <t>Renouvellement</t>
        </is>
      </c>
      <c r="P31" s="57" t="inlineStr">
        <is>
          <t>P001</t>
        </is>
      </c>
      <c r="Q31" s="57">
        <f>IFERROR(INDEX(Produits!$C$2:$C$3000,MATCH(P31,Produits!$A$2:$A$3000,0)),"")</f>
        <v/>
      </c>
      <c r="R31" s="58" t="n">
        <v>46204</v>
      </c>
      <c r="S31" s="58" t="n">
        <v>46418</v>
      </c>
      <c r="T31" s="58" t="n"/>
      <c r="U31" s="40" t="inlineStr">
        <is>
          <t>Clôturer le ticket qualité avant de présenter la proposition</t>
        </is>
      </c>
      <c r="V31" s="57" t="inlineStr">
        <is>
          <t>Kartéa Pharma Pack</t>
        </is>
      </c>
      <c r="W31" s="57" t="n"/>
    </row>
    <row r="32" ht="15" customHeight="1" s="34">
      <c r="A32" s="57" t="inlineStr">
        <is>
          <t>T031</t>
        </is>
      </c>
      <c r="B32" s="57" t="inlineStr">
        <is>
          <t>Andros - Emballages nouvelle gamme</t>
        </is>
      </c>
      <c r="C32" s="57" t="inlineStr">
        <is>
          <t>E020</t>
        </is>
      </c>
      <c r="D32" s="57">
        <f>IFERROR(INDEX(Entreprises!$B$2:$B$3000,MATCH(C32,Entreprises!$A$2:$A$3000,0)),"")</f>
        <v/>
      </c>
      <c r="E32" s="57" t="inlineStr">
        <is>
          <t>C032</t>
        </is>
      </c>
      <c r="F32" s="57">
        <f>IFERROR(INDEX(Contacts!$E$2:$E$3000,MATCH(E32,Contacts!$A$2:$A$3000,0)),"")</f>
        <v/>
      </c>
      <c r="G32" s="57" t="inlineStr">
        <is>
          <t>U005</t>
        </is>
      </c>
      <c r="H32" s="57">
        <f>IFERROR(INDEX(Commerciaux!$D$2:$D$3000,MATCH(G32,Commerciaux!$A$2:$A$3000,0)),"")</f>
        <v/>
      </c>
      <c r="I32" s="57" t="inlineStr">
        <is>
          <t>Ventes terrain</t>
        </is>
      </c>
      <c r="J32" s="57" t="inlineStr">
        <is>
          <t>Présentation planifiée</t>
        </is>
      </c>
      <c r="K32" s="62">
        <f>IFERROR(INDEX(Paramètres!$B$7:$B$13,MATCH(J32,Paramètres!$A$7:$A$13,0)),"")</f>
        <v/>
      </c>
      <c r="L32" s="59" t="n">
        <v>135000</v>
      </c>
      <c r="M32" s="59">
        <f>IF(OR(L32="",K32=""),"",L32*K32)</f>
        <v/>
      </c>
      <c r="N32" s="57">
        <f>IFERROR(INDEX(Paramètres!$C$7:$C$13,MATCH(J32,Paramètres!$A$7:$A$13,0)),"")</f>
        <v/>
      </c>
      <c r="O32" s="57" t="inlineStr">
        <is>
          <t>Nouvelle affaire</t>
        </is>
      </c>
      <c r="P32" s="57" t="inlineStr">
        <is>
          <t>P007</t>
        </is>
      </c>
      <c r="Q32" s="57">
        <f>IFERROR(INDEX(Produits!$C$2:$C$3000,MATCH(P32,Produits!$A$2:$A$3000,0)),"")</f>
        <v/>
      </c>
      <c r="R32" s="58" t="n">
        <v>46083</v>
      </c>
      <c r="S32" s="58" t="n">
        <v>46360</v>
      </c>
      <c r="T32" s="58" t="n"/>
      <c r="U32" s="40" t="inlineStr">
        <is>
          <t>Présenter l'offre avec scénario de montée en charge</t>
        </is>
      </c>
      <c r="V32" s="57" t="inlineStr">
        <is>
          <t>Emballor Industries</t>
        </is>
      </c>
      <c r="W32" s="57" t="n"/>
    </row>
    <row r="33" ht="15" customHeight="1" s="34">
      <c r="A33" s="57" t="inlineStr">
        <is>
          <t>T032</t>
        </is>
      </c>
      <c r="B33" s="57" t="inlineStr">
        <is>
          <t>Volterra - Emballages éco-conçus deux usines</t>
        </is>
      </c>
      <c r="C33" s="57" t="inlineStr">
        <is>
          <t>E021</t>
        </is>
      </c>
      <c r="D33" s="57">
        <f>IFERROR(INDEX(Entreprises!$B$2:$B$3000,MATCH(C33,Entreprises!$A$2:$A$3000,0)),"")</f>
        <v/>
      </c>
      <c r="E33" s="57" t="inlineStr">
        <is>
          <t>C033</t>
        </is>
      </c>
      <c r="F33" s="57">
        <f>IFERROR(INDEX(Contacts!$E$2:$E$3000,MATCH(E33,Contacts!$A$2:$A$3000,0)),"")</f>
        <v/>
      </c>
      <c r="G33" s="57" t="inlineStr">
        <is>
          <t>U005</t>
        </is>
      </c>
      <c r="H33" s="57">
        <f>IFERROR(INDEX(Commerciaux!$D$2:$D$3000,MATCH(G33,Commerciaux!$A$2:$A$3000,0)),"")</f>
        <v/>
      </c>
      <c r="I33" s="57" t="inlineStr">
        <is>
          <t>Ventes terrain</t>
        </is>
      </c>
      <c r="J33" s="57" t="inlineStr">
        <is>
          <t>Décideur impliqué</t>
        </is>
      </c>
      <c r="K33" s="62">
        <f>IFERROR(INDEX(Paramètres!$B$7:$B$13,MATCH(J33,Paramètres!$A$7:$A$13,0)),"")</f>
        <v/>
      </c>
      <c r="L33" s="59" t="n">
        <v>260000</v>
      </c>
      <c r="M33" s="59">
        <f>IF(OR(L33="",K33=""),"",L33*K33)</f>
        <v/>
      </c>
      <c r="N33" s="57">
        <f>IFERROR(INDEX(Paramètres!$C$7:$C$13,MATCH(J33,Paramètres!$A$7:$A$13,0)),"")</f>
        <v/>
      </c>
      <c r="O33" s="57" t="inlineStr">
        <is>
          <t>Affaire existante</t>
        </is>
      </c>
      <c r="P33" s="57" t="inlineStr">
        <is>
          <t>P008</t>
        </is>
      </c>
      <c r="Q33" s="57">
        <f>IFERROR(INDEX(Produits!$C$2:$C$3000,MATCH(P33,Produits!$A$2:$A$3000,0)),"")</f>
        <v/>
      </c>
      <c r="R33" s="58" t="n">
        <v>46154</v>
      </c>
      <c r="S33" s="58" t="n">
        <v>46374</v>
      </c>
      <c r="T33" s="58" t="n"/>
      <c r="U33" s="40" t="inlineStr">
        <is>
          <t>Préparer le dossier du comité de décision</t>
        </is>
      </c>
      <c r="V33" s="57" t="inlineStr">
        <is>
          <t>Emballor Industries</t>
        </is>
      </c>
      <c r="W33" s="57" t="n"/>
    </row>
    <row r="34" ht="15" customHeight="1" s="34">
      <c r="A34" s="57" t="inlineStr">
        <is>
          <t>T033</t>
        </is>
      </c>
      <c r="B34" s="57" t="inlineStr">
        <is>
          <t>Volterra - Étiqueteuse automatique site de Poitiers</t>
        </is>
      </c>
      <c r="C34" s="57" t="inlineStr">
        <is>
          <t>E021</t>
        </is>
      </c>
      <c r="D34" s="57">
        <f>IFERROR(INDEX(Entreprises!$B$2:$B$3000,MATCH(C34,Entreprises!$A$2:$A$3000,0)),"")</f>
        <v/>
      </c>
      <c r="E34" s="57" t="inlineStr">
        <is>
          <t>C034</t>
        </is>
      </c>
      <c r="F34" s="57">
        <f>IFERROR(INDEX(Contacts!$E$2:$E$3000,MATCH(E34,Contacts!$A$2:$A$3000,0)),"")</f>
        <v/>
      </c>
      <c r="G34" s="57" t="inlineStr">
        <is>
          <t>U005</t>
        </is>
      </c>
      <c r="H34" s="57">
        <f>IFERROR(INDEX(Commerciaux!$D$2:$D$3000,MATCH(G34,Commerciaux!$A$2:$A$3000,0)),"")</f>
        <v/>
      </c>
      <c r="I34" s="57" t="inlineStr">
        <is>
          <t>Ventes terrain</t>
        </is>
      </c>
      <c r="J34" s="57" t="inlineStr">
        <is>
          <t>Conclu gagné</t>
        </is>
      </c>
      <c r="K34" s="62">
        <f>IFERROR(INDEX(Paramètres!$B$7:$B$13,MATCH(J34,Paramètres!$A$7:$A$13,0)),"")</f>
        <v/>
      </c>
      <c r="L34" s="59" t="n">
        <v>51600</v>
      </c>
      <c r="M34" s="59">
        <f>IF(OR(L34="",K34=""),"",L34*K34)</f>
        <v/>
      </c>
      <c r="N34" s="57">
        <f>IFERROR(INDEX(Paramètres!$C$7:$C$13,MATCH(J34,Paramètres!$A$7:$A$13,0)),"")</f>
        <v/>
      </c>
      <c r="O34" s="57" t="inlineStr">
        <is>
          <t>Nouvelle affaire</t>
        </is>
      </c>
      <c r="P34" s="57" t="inlineStr">
        <is>
          <t>P010</t>
        </is>
      </c>
      <c r="Q34" s="57">
        <f>IFERROR(INDEX(Produits!$C$2:$C$3000,MATCH(P34,Produits!$A$2:$A$3000,0)),"")</f>
        <v/>
      </c>
      <c r="R34" s="58" t="n">
        <v>45719</v>
      </c>
      <c r="S34" s="58" t="n">
        <v>45820</v>
      </c>
      <c r="T34" s="58" t="n">
        <v>45820</v>
      </c>
      <c r="U34" s="40" t="n"/>
      <c r="V34" s="57" t="n"/>
      <c r="W34" s="57" t="n"/>
    </row>
    <row r="35" ht="15" customHeight="1" s="34">
      <c r="A35" s="57" t="inlineStr">
        <is>
          <t>T034</t>
        </is>
      </c>
      <c r="B35" s="57" t="inlineStr">
        <is>
          <t>Sanofi - Sérialisation site supplémentaire</t>
        </is>
      </c>
      <c r="C35" s="57" t="inlineStr">
        <is>
          <t>E022</t>
        </is>
      </c>
      <c r="D35" s="57">
        <f>IFERROR(INDEX(Entreprises!$B$2:$B$3000,MATCH(C35,Entreprises!$A$2:$A$3000,0)),"")</f>
        <v/>
      </c>
      <c r="E35" s="57" t="inlineStr">
        <is>
          <t>C036</t>
        </is>
      </c>
      <c r="F35" s="57">
        <f>IFERROR(INDEX(Contacts!$E$2:$E$3000,MATCH(E35,Contacts!$A$2:$A$3000,0)),"")</f>
        <v/>
      </c>
      <c r="G35" s="57" t="inlineStr">
        <is>
          <t>U006</t>
        </is>
      </c>
      <c r="H35" s="57">
        <f>IFERROR(INDEX(Commerciaux!$D$2:$D$3000,MATCH(G35,Commerciaux!$A$2:$A$3000,0)),"")</f>
        <v/>
      </c>
      <c r="I35" s="57" t="inlineStr">
        <is>
          <t>Ventes terrain</t>
        </is>
      </c>
      <c r="J35" s="57" t="inlineStr">
        <is>
          <t>Décideur impliqué</t>
        </is>
      </c>
      <c r="K35" s="62">
        <f>IFERROR(INDEX(Paramètres!$B$7:$B$13,MATCH(J35,Paramètres!$A$7:$A$13,0)),"")</f>
        <v/>
      </c>
      <c r="L35" s="59" t="n">
        <v>340000</v>
      </c>
      <c r="M35" s="59">
        <f>IF(OR(L35="",K35=""),"",L35*K35)</f>
        <v/>
      </c>
      <c r="N35" s="57">
        <f>IFERROR(INDEX(Paramètres!$C$7:$C$13,MATCH(J35,Paramètres!$A$7:$A$13,0)),"")</f>
        <v/>
      </c>
      <c r="O35" s="57" t="inlineStr">
        <is>
          <t>Nouvelle affaire</t>
        </is>
      </c>
      <c r="P35" s="57" t="inlineStr">
        <is>
          <t>P009</t>
        </is>
      </c>
      <c r="Q35" s="57">
        <f>IFERROR(INDEX(Produits!$C$2:$C$3000,MATCH(P35,Produits!$A$2:$A$3000,0)),"")</f>
        <v/>
      </c>
      <c r="R35" s="58" t="n">
        <v>46055</v>
      </c>
      <c r="S35" s="58" t="n">
        <v>46371</v>
      </c>
      <c r="T35" s="58" t="n"/>
      <c r="U35" s="40" t="inlineStr">
        <is>
          <t>Comité de pilotage mi-octobre</t>
        </is>
      </c>
      <c r="V35" s="57" t="inlineStr">
        <is>
          <t>Kartéa Pharma Pack</t>
        </is>
      </c>
      <c r="W35" s="57" t="n"/>
    </row>
    <row r="36" ht="15" customHeight="1" s="34">
      <c r="A36" s="57" t="inlineStr">
        <is>
          <t>T035</t>
        </is>
      </c>
      <c r="B36" s="57" t="inlineStr">
        <is>
          <t>Sanofi - Renouvellement accord-cadre étuis et notices 2027</t>
        </is>
      </c>
      <c r="C36" s="57" t="inlineStr">
        <is>
          <t>E022</t>
        </is>
      </c>
      <c r="D36" s="57">
        <f>IFERROR(INDEX(Entreprises!$B$2:$B$3000,MATCH(C36,Entreprises!$A$2:$A$3000,0)),"")</f>
        <v/>
      </c>
      <c r="E36" s="57" t="inlineStr">
        <is>
          <t>C035</t>
        </is>
      </c>
      <c r="F36" s="57">
        <f>IFERROR(INDEX(Contacts!$E$2:$E$3000,MATCH(E36,Contacts!$A$2:$A$3000,0)),"")</f>
        <v/>
      </c>
      <c r="G36" s="57" t="inlineStr">
        <is>
          <t>U006</t>
        </is>
      </c>
      <c r="H36" s="57">
        <f>IFERROR(INDEX(Commerciaux!$D$2:$D$3000,MATCH(G36,Commerciaux!$A$2:$A$3000,0)),"")</f>
        <v/>
      </c>
      <c r="I36" s="57" t="inlineStr">
        <is>
          <t>Ventes terrain</t>
        </is>
      </c>
      <c r="J36" s="57" t="inlineStr">
        <is>
          <t>Qualifié pour achat</t>
        </is>
      </c>
      <c r="K36" s="62">
        <f>IFERROR(INDEX(Paramètres!$B$7:$B$13,MATCH(J36,Paramètres!$A$7:$A$13,0)),"")</f>
        <v/>
      </c>
      <c r="L36" s="59" t="n">
        <v>1150000</v>
      </c>
      <c r="M36" s="59">
        <f>IF(OR(L36="",K36=""),"",L36*K36)</f>
        <v/>
      </c>
      <c r="N36" s="57">
        <f>IFERROR(INDEX(Paramètres!$C$7:$C$13,MATCH(J36,Paramètres!$A$7:$A$13,0)),"")</f>
        <v/>
      </c>
      <c r="O36" s="57" t="inlineStr">
        <is>
          <t>Renouvellement</t>
        </is>
      </c>
      <c r="P36" s="57" t="inlineStr">
        <is>
          <t>P001</t>
        </is>
      </c>
      <c r="Q36" s="57">
        <f>IFERROR(INDEX(Produits!$C$2:$C$3000,MATCH(P36,Produits!$A$2:$A$3000,0)),"")</f>
        <v/>
      </c>
      <c r="R36" s="58" t="n">
        <v>46279</v>
      </c>
      <c r="S36" s="58" t="n">
        <v>46477</v>
      </c>
      <c r="T36" s="58" t="n"/>
      <c r="U36" s="40" t="inlineStr">
        <is>
          <t>Préparer le dossier de candidature</t>
        </is>
      </c>
      <c r="V36" s="57" t="inlineStr">
        <is>
          <t>Kartéa Pharma Pack</t>
        </is>
      </c>
      <c r="W36" s="57" t="n"/>
    </row>
    <row r="37" ht="15" customHeight="1" s="34">
      <c r="A37" s="57" t="inlineStr">
        <is>
          <t>T036</t>
        </is>
      </c>
      <c r="B37" s="57" t="inlineStr">
        <is>
          <t>Sanofi - Notices pharmaceutiques 2026</t>
        </is>
      </c>
      <c r="C37" s="57" t="inlineStr">
        <is>
          <t>E022</t>
        </is>
      </c>
      <c r="D37" s="57">
        <f>IFERROR(INDEX(Entreprises!$B$2:$B$3000,MATCH(C37,Entreprises!$A$2:$A$3000,0)),"")</f>
        <v/>
      </c>
      <c r="E37" s="57" t="inlineStr">
        <is>
          <t>C035</t>
        </is>
      </c>
      <c r="F37" s="57">
        <f>IFERROR(INDEX(Contacts!$E$2:$E$3000,MATCH(E37,Contacts!$A$2:$A$3000,0)),"")</f>
        <v/>
      </c>
      <c r="G37" s="57" t="inlineStr">
        <is>
          <t>U006</t>
        </is>
      </c>
      <c r="H37" s="57">
        <f>IFERROR(INDEX(Commerciaux!$D$2:$D$3000,MATCH(G37,Commerciaux!$A$2:$A$3000,0)),"")</f>
        <v/>
      </c>
      <c r="I37" s="57" t="inlineStr">
        <is>
          <t>Ventes terrain</t>
        </is>
      </c>
      <c r="J37" s="57" t="inlineStr">
        <is>
          <t>Conclu gagné</t>
        </is>
      </c>
      <c r="K37" s="62">
        <f>IFERROR(INDEX(Paramètres!$B$7:$B$13,MATCH(J37,Paramètres!$A$7:$A$13,0)),"")</f>
        <v/>
      </c>
      <c r="L37" s="59" t="n">
        <v>420000</v>
      </c>
      <c r="M37" s="59">
        <f>IF(OR(L37="",K37=""),"",L37*K37)</f>
        <v/>
      </c>
      <c r="N37" s="57">
        <f>IFERROR(INDEX(Paramètres!$C$7:$C$13,MATCH(J37,Paramètres!$A$7:$A$13,0)),"")</f>
        <v/>
      </c>
      <c r="O37" s="57" t="inlineStr">
        <is>
          <t>Renouvellement</t>
        </is>
      </c>
      <c r="P37" s="57" t="inlineStr">
        <is>
          <t>P002</t>
        </is>
      </c>
      <c r="Q37" s="57">
        <f>IFERROR(INDEX(Produits!$C$2:$C$3000,MATCH(P37,Produits!$A$2:$A$3000,0)),"")</f>
        <v/>
      </c>
      <c r="R37" s="58" t="n">
        <v>45901</v>
      </c>
      <c r="S37" s="58" t="n">
        <v>45989</v>
      </c>
      <c r="T37" s="58" t="n">
        <v>45989</v>
      </c>
      <c r="U37" s="40" t="n"/>
      <c r="V37" s="57" t="n"/>
      <c r="W37" s="57" t="n"/>
    </row>
    <row r="38" ht="15" customHeight="1" s="34">
      <c r="A38" s="57" t="inlineStr">
        <is>
          <t>T037</t>
        </is>
      </c>
      <c r="B38" s="57" t="inlineStr">
        <is>
          <t>Ipsen - Étiquettes d'inviolabilité gamme complète</t>
        </is>
      </c>
      <c r="C38" s="57" t="inlineStr">
        <is>
          <t>E023</t>
        </is>
      </c>
      <c r="D38" s="57">
        <f>IFERROR(INDEX(Entreprises!$B$2:$B$3000,MATCH(C38,Entreprises!$A$2:$A$3000,0)),"")</f>
        <v/>
      </c>
      <c r="E38" s="57" t="inlineStr">
        <is>
          <t>C037</t>
        </is>
      </c>
      <c r="F38" s="57">
        <f>IFERROR(INDEX(Contacts!$E$2:$E$3000,MATCH(E38,Contacts!$A$2:$A$3000,0)),"")</f>
        <v/>
      </c>
      <c r="G38" s="57" t="inlineStr">
        <is>
          <t>U006</t>
        </is>
      </c>
      <c r="H38" s="57">
        <f>IFERROR(INDEX(Commerciaux!$D$2:$D$3000,MATCH(G38,Commerciaux!$A$2:$A$3000,0)),"")</f>
        <v/>
      </c>
      <c r="I38" s="57" t="inlineStr">
        <is>
          <t>Ventes terrain</t>
        </is>
      </c>
      <c r="J38" s="57" t="inlineStr">
        <is>
          <t>Contrat envoyé</t>
        </is>
      </c>
      <c r="K38" s="62">
        <f>IFERROR(INDEX(Paramètres!$B$7:$B$13,MATCH(J38,Paramètres!$A$7:$A$13,0)),"")</f>
        <v/>
      </c>
      <c r="L38" s="59" t="n">
        <v>125000</v>
      </c>
      <c r="M38" s="59">
        <f>IF(OR(L38="",K38=""),"",L38*K38)</f>
        <v/>
      </c>
      <c r="N38" s="57">
        <f>IFERROR(INDEX(Paramètres!$C$7:$C$13,MATCH(J38,Paramètres!$A$7:$A$13,0)),"")</f>
        <v/>
      </c>
      <c r="O38" s="57" t="inlineStr">
        <is>
          <t>Affaire existante</t>
        </is>
      </c>
      <c r="P38" s="57" t="inlineStr">
        <is>
          <t>P004</t>
        </is>
      </c>
      <c r="Q38" s="57">
        <f>IFERROR(INDEX(Produits!$C$2:$C$3000,MATCH(P38,Produits!$A$2:$A$3000,0)),"")</f>
        <v/>
      </c>
      <c r="R38" s="58" t="n">
        <v>46132</v>
      </c>
      <c r="S38" s="58" t="n">
        <v>46339</v>
      </c>
      <c r="T38" s="58" t="n"/>
      <c r="U38" s="40" t="inlineStr">
        <is>
          <t>Revue du contrat avec le service juridique</t>
        </is>
      </c>
      <c r="V38" s="57" t="n"/>
      <c r="W38" s="57" t="n"/>
    </row>
    <row r="39" ht="15" customHeight="1" s="34">
      <c r="A39" s="57" t="inlineStr">
        <is>
          <t>T038</t>
        </is>
      </c>
      <c r="B39" s="57" t="inlineStr">
        <is>
          <t>Servier - Appel d'offres notices et étuis</t>
        </is>
      </c>
      <c r="C39" s="57" t="inlineStr">
        <is>
          <t>E024</t>
        </is>
      </c>
      <c r="D39" s="57">
        <f>IFERROR(INDEX(Entreprises!$B$2:$B$3000,MATCH(C39,Entreprises!$A$2:$A$3000,0)),"")</f>
        <v/>
      </c>
      <c r="E39" s="57" t="inlineStr">
        <is>
          <t>C039</t>
        </is>
      </c>
      <c r="F39" s="57">
        <f>IFERROR(INDEX(Contacts!$E$2:$E$3000,MATCH(E39,Contacts!$A$2:$A$3000,0)),"")</f>
        <v/>
      </c>
      <c r="G39" s="57" t="inlineStr">
        <is>
          <t>U006</t>
        </is>
      </c>
      <c r="H39" s="57">
        <f>IFERROR(INDEX(Commerciaux!$D$2:$D$3000,MATCH(G39,Commerciaux!$A$2:$A$3000,0)),"")</f>
        <v/>
      </c>
      <c r="I39" s="57" t="inlineStr">
        <is>
          <t>Ventes terrain</t>
        </is>
      </c>
      <c r="J39" s="57" t="inlineStr">
        <is>
          <t>Présentation planifiée</t>
        </is>
      </c>
      <c r="K39" s="62">
        <f>IFERROR(INDEX(Paramètres!$B$7:$B$13,MATCH(J39,Paramètres!$A$7:$A$13,0)),"")</f>
        <v/>
      </c>
      <c r="L39" s="59" t="n">
        <v>480000</v>
      </c>
      <c r="M39" s="59">
        <f>IF(OR(L39="",K39=""),"",L39*K39)</f>
        <v/>
      </c>
      <c r="N39" s="57">
        <f>IFERROR(INDEX(Paramètres!$C$7:$C$13,MATCH(J39,Paramètres!$A$7:$A$13,0)),"")</f>
        <v/>
      </c>
      <c r="O39" s="57" t="inlineStr">
        <is>
          <t>Nouvelle affaire</t>
        </is>
      </c>
      <c r="P39" s="57" t="inlineStr">
        <is>
          <t>P002</t>
        </is>
      </c>
      <c r="Q39" s="57">
        <f>IFERROR(INDEX(Produits!$C$2:$C$3000,MATCH(P39,Produits!$A$2:$A$3000,0)),"")</f>
        <v/>
      </c>
      <c r="R39" s="58" t="n">
        <v>45944</v>
      </c>
      <c r="S39" s="58" t="n">
        <v>46444</v>
      </c>
      <c r="T39" s="58" t="n"/>
      <c r="U39" s="40" t="inlineStr">
        <is>
          <t>Préparer la soutenance du 28/10</t>
        </is>
      </c>
      <c r="V39" s="57" t="inlineStr">
        <is>
          <t>Kartéa Pharma Pack</t>
        </is>
      </c>
      <c r="W39" s="57" t="n"/>
    </row>
    <row r="40" ht="15" customHeight="1" s="34">
      <c r="A40" s="57" t="inlineStr">
        <is>
          <t>T039</t>
        </is>
      </c>
      <c r="B40" s="57" t="inlineStr">
        <is>
          <t>Pernod Ricard - Éco-conception des coffrets 2027</t>
        </is>
      </c>
      <c r="C40" s="57" t="inlineStr">
        <is>
          <t>E025</t>
        </is>
      </c>
      <c r="D40" s="57">
        <f>IFERROR(INDEX(Entreprises!$B$2:$B$3000,MATCH(C40,Entreprises!$A$2:$A$3000,0)),"")</f>
        <v/>
      </c>
      <c r="E40" s="57" t="inlineStr">
        <is>
          <t>C041</t>
        </is>
      </c>
      <c r="F40" s="57">
        <f>IFERROR(INDEX(Contacts!$E$2:$E$3000,MATCH(E40,Contacts!$A$2:$A$3000,0)),"")</f>
        <v/>
      </c>
      <c r="G40" s="57" t="inlineStr">
        <is>
          <t>U007</t>
        </is>
      </c>
      <c r="H40" s="57">
        <f>IFERROR(INDEX(Commerciaux!$D$2:$D$3000,MATCH(G40,Commerciaux!$A$2:$A$3000,0)),"")</f>
        <v/>
      </c>
      <c r="I40" s="57" t="inlineStr">
        <is>
          <t>Ventes terrain</t>
        </is>
      </c>
      <c r="J40" s="57" t="inlineStr">
        <is>
          <t>Décideur impliqué</t>
        </is>
      </c>
      <c r="K40" s="62">
        <f>IFERROR(INDEX(Paramètres!$B$7:$B$13,MATCH(J40,Paramètres!$A$7:$A$13,0)),"")</f>
        <v/>
      </c>
      <c r="L40" s="59" t="n">
        <v>420000</v>
      </c>
      <c r="M40" s="59">
        <f>IF(OR(L40="",K40=""),"",L40*K40)</f>
        <v/>
      </c>
      <c r="N40" s="57">
        <f>IFERROR(INDEX(Paramètres!$C$7:$C$13,MATCH(J40,Paramètres!$A$7:$A$13,0)),"")</f>
        <v/>
      </c>
      <c r="O40" s="57" t="inlineStr">
        <is>
          <t>Affaire existante</t>
        </is>
      </c>
      <c r="P40" s="57" t="inlineStr">
        <is>
          <t>P005</t>
        </is>
      </c>
      <c r="Q40" s="57">
        <f>IFERROR(INDEX(Produits!$C$2:$C$3000,MATCH(P40,Produits!$A$2:$A$3000,0)),"")</f>
        <v/>
      </c>
      <c r="R40" s="58" t="n">
        <v>46146</v>
      </c>
      <c r="S40" s="58" t="n">
        <v>46374</v>
      </c>
      <c r="T40" s="58" t="n"/>
      <c r="U40" s="40" t="inlineStr">
        <is>
          <t>Transmettre les analyses de cycle de vie</t>
        </is>
      </c>
      <c r="V40" s="57" t="inlineStr">
        <is>
          <t>Kartéa Luxe</t>
        </is>
      </c>
      <c r="W40" s="57" t="n"/>
    </row>
    <row r="41" ht="15" customHeight="1" s="34">
      <c r="A41" s="57" t="inlineStr">
        <is>
          <t>T040</t>
        </is>
      </c>
      <c r="B41" s="57" t="inlineStr">
        <is>
          <t>Pernod Ricard - Étuis spiritueux 2026</t>
        </is>
      </c>
      <c r="C41" s="57" t="inlineStr">
        <is>
          <t>E025</t>
        </is>
      </c>
      <c r="D41" s="57">
        <f>IFERROR(INDEX(Entreprises!$B$2:$B$3000,MATCH(C41,Entreprises!$A$2:$A$3000,0)),"")</f>
        <v/>
      </c>
      <c r="E41" s="57" t="inlineStr">
        <is>
          <t>C040</t>
        </is>
      </c>
      <c r="F41" s="57">
        <f>IFERROR(INDEX(Contacts!$E$2:$E$3000,MATCH(E41,Contacts!$A$2:$A$3000,0)),"")</f>
        <v/>
      </c>
      <c r="G41" s="57" t="inlineStr">
        <is>
          <t>U007</t>
        </is>
      </c>
      <c r="H41" s="57">
        <f>IFERROR(INDEX(Commerciaux!$D$2:$D$3000,MATCH(G41,Commerciaux!$A$2:$A$3000,0)),"")</f>
        <v/>
      </c>
      <c r="I41" s="57" t="inlineStr">
        <is>
          <t>Ventes terrain</t>
        </is>
      </c>
      <c r="J41" s="57" t="inlineStr">
        <is>
          <t>Conclu gagné</t>
        </is>
      </c>
      <c r="K41" s="62">
        <f>IFERROR(INDEX(Paramètres!$B$7:$B$13,MATCH(J41,Paramètres!$A$7:$A$13,0)),"")</f>
        <v/>
      </c>
      <c r="L41" s="59" t="n">
        <v>610000</v>
      </c>
      <c r="M41" s="59">
        <f>IF(OR(L41="",K41=""),"",L41*K41)</f>
        <v/>
      </c>
      <c r="N41" s="57">
        <f>IFERROR(INDEX(Paramètres!$C$7:$C$13,MATCH(J41,Paramètres!$A$7:$A$13,0)),"")</f>
        <v/>
      </c>
      <c r="O41" s="57" t="inlineStr">
        <is>
          <t>Renouvellement</t>
        </is>
      </c>
      <c r="P41" s="57" t="inlineStr">
        <is>
          <t>P006</t>
        </is>
      </c>
      <c r="Q41" s="57">
        <f>IFERROR(INDEX(Produits!$C$2:$C$3000,MATCH(P41,Produits!$A$2:$A$3000,0)),"")</f>
        <v/>
      </c>
      <c r="R41" s="58" t="n">
        <v>45887</v>
      </c>
      <c r="S41" s="58" t="n">
        <v>45960</v>
      </c>
      <c r="T41" s="58" t="n">
        <v>45960</v>
      </c>
      <c r="U41" s="40" t="n"/>
      <c r="V41" s="57" t="n"/>
      <c r="W41" s="57" t="n"/>
    </row>
    <row r="42" ht="15" customHeight="1" s="34">
      <c r="A42" s="57" t="inlineStr">
        <is>
          <t>T041</t>
        </is>
      </c>
      <c r="B42" s="57" t="inlineStr">
        <is>
          <t>Danone - Caisses carton recyclé</t>
        </is>
      </c>
      <c r="C42" s="57" t="inlineStr">
        <is>
          <t>E026</t>
        </is>
      </c>
      <c r="D42" s="57">
        <f>IFERROR(INDEX(Entreprises!$B$2:$B$3000,MATCH(C42,Entreprises!$A$2:$A$3000,0)),"")</f>
        <v/>
      </c>
      <c r="E42" s="57" t="inlineStr">
        <is>
          <t>C042</t>
        </is>
      </c>
      <c r="F42" s="57">
        <f>IFERROR(INDEX(Contacts!$E$2:$E$3000,MATCH(E42,Contacts!$A$2:$A$3000,0)),"")</f>
        <v/>
      </c>
      <c r="G42" s="57" t="inlineStr">
        <is>
          <t>U007</t>
        </is>
      </c>
      <c r="H42" s="57">
        <f>IFERROR(INDEX(Commerciaux!$D$2:$D$3000,MATCH(G42,Commerciaux!$A$2:$A$3000,0)),"")</f>
        <v/>
      </c>
      <c r="I42" s="57" t="inlineStr">
        <is>
          <t>Ventes terrain</t>
        </is>
      </c>
      <c r="J42" s="57" t="inlineStr">
        <is>
          <t>Qualifié pour achat</t>
        </is>
      </c>
      <c r="K42" s="62">
        <f>IFERROR(INDEX(Paramètres!$B$7:$B$13,MATCH(J42,Paramètres!$A$7:$A$13,0)),"")</f>
        <v/>
      </c>
      <c r="L42" s="59" t="n">
        <v>380000</v>
      </c>
      <c r="M42" s="59">
        <f>IF(OR(L42="",K42=""),"",L42*K42)</f>
        <v/>
      </c>
      <c r="N42" s="57">
        <f>IFERROR(INDEX(Paramètres!$C$7:$C$13,MATCH(J42,Paramètres!$A$7:$A$13,0)),"")</f>
        <v/>
      </c>
      <c r="O42" s="57" t="inlineStr">
        <is>
          <t>Affaire existante</t>
        </is>
      </c>
      <c r="P42" s="57" t="inlineStr">
        <is>
          <t>P007</t>
        </is>
      </c>
      <c r="Q42" s="57">
        <f>IFERROR(INDEX(Produits!$C$2:$C$3000,MATCH(P42,Produits!$A$2:$A$3000,0)),"")</f>
        <v/>
      </c>
      <c r="R42" s="58" t="n">
        <v>46237</v>
      </c>
      <c r="S42" s="58" t="n">
        <v>46430</v>
      </c>
      <c r="T42" s="58" t="n"/>
      <c r="U42" s="40" t="inlineStr">
        <is>
          <t>Atelier technique en octobre</t>
        </is>
      </c>
      <c r="V42" s="57" t="inlineStr">
        <is>
          <t>Emballor Industries</t>
        </is>
      </c>
      <c r="W42" s="57" t="n"/>
    </row>
    <row r="43" ht="15" customHeight="1" s="34">
      <c r="A43" s="57" t="inlineStr">
        <is>
          <t>T042</t>
        </is>
      </c>
      <c r="B43" s="57" t="inlineStr">
        <is>
          <t>L'Oréal - Coffrets de fêtes 2027</t>
        </is>
      </c>
      <c r="C43" s="57" t="inlineStr">
        <is>
          <t>E027</t>
        </is>
      </c>
      <c r="D43" s="57">
        <f>IFERROR(INDEX(Entreprises!$B$2:$B$3000,MATCH(C43,Entreprises!$A$2:$A$3000,0)),"")</f>
        <v/>
      </c>
      <c r="E43" s="57" t="inlineStr">
        <is>
          <t>C044</t>
        </is>
      </c>
      <c r="F43" s="57">
        <f>IFERROR(INDEX(Contacts!$E$2:$E$3000,MATCH(E43,Contacts!$A$2:$A$3000,0)),"")</f>
        <v/>
      </c>
      <c r="G43" s="57" t="inlineStr">
        <is>
          <t>U007</t>
        </is>
      </c>
      <c r="H43" s="57">
        <f>IFERROR(INDEX(Commerciaux!$D$2:$D$3000,MATCH(G43,Commerciaux!$A$2:$A$3000,0)),"")</f>
        <v/>
      </c>
      <c r="I43" s="57" t="inlineStr">
        <is>
          <t>Ventes terrain</t>
        </is>
      </c>
      <c r="J43" s="57" t="inlineStr">
        <is>
          <t>Présentation planifiée</t>
        </is>
      </c>
      <c r="K43" s="62">
        <f>IFERROR(INDEX(Paramètres!$B$7:$B$13,MATCH(J43,Paramètres!$A$7:$A$13,0)),"")</f>
        <v/>
      </c>
      <c r="L43" s="59" t="n">
        <v>520000</v>
      </c>
      <c r="M43" s="59">
        <f>IF(OR(L43="",K43=""),"",L43*K43)</f>
        <v/>
      </c>
      <c r="N43" s="57">
        <f>IFERROR(INDEX(Paramètres!$C$7:$C$13,MATCH(J43,Paramètres!$A$7:$A$13,0)),"")</f>
        <v/>
      </c>
      <c r="O43" s="57" t="inlineStr">
        <is>
          <t>Affaire existante</t>
        </is>
      </c>
      <c r="P43" s="57" t="inlineStr">
        <is>
          <t>P005</t>
        </is>
      </c>
      <c r="Q43" s="57">
        <f>IFERROR(INDEX(Produits!$C$2:$C$3000,MATCH(P43,Produits!$A$2:$A$3000,0)),"")</f>
        <v/>
      </c>
      <c r="R43" s="58" t="n">
        <v>46218</v>
      </c>
      <c r="S43" s="58" t="n">
        <v>46409</v>
      </c>
      <c r="T43" s="58" t="n"/>
      <c r="U43" s="40" t="inlineStr">
        <is>
          <t>Présenter les concepts le 26/10</t>
        </is>
      </c>
      <c r="V43" s="57" t="inlineStr">
        <is>
          <t>Cartonnages Vauclair</t>
        </is>
      </c>
      <c r="W43" s="57" t="n"/>
    </row>
    <row r="44" ht="15" customHeight="1" s="34">
      <c r="A44" s="57" t="inlineStr">
        <is>
          <t>T043</t>
        </is>
      </c>
      <c r="B44" s="57" t="inlineStr">
        <is>
          <t>L'Oréal - Coffrets de fêtes 2026</t>
        </is>
      </c>
      <c r="C44" s="57" t="inlineStr">
        <is>
          <t>E027</t>
        </is>
      </c>
      <c r="D44" s="57">
        <f>IFERROR(INDEX(Entreprises!$B$2:$B$3000,MATCH(C44,Entreprises!$A$2:$A$3000,0)),"")</f>
        <v/>
      </c>
      <c r="E44" s="57" t="inlineStr">
        <is>
          <t>C044</t>
        </is>
      </c>
      <c r="F44" s="57">
        <f>IFERROR(INDEX(Contacts!$E$2:$E$3000,MATCH(E44,Contacts!$A$2:$A$3000,0)),"")</f>
        <v/>
      </c>
      <c r="G44" s="57" t="inlineStr">
        <is>
          <t>U007</t>
        </is>
      </c>
      <c r="H44" s="57">
        <f>IFERROR(INDEX(Commerciaux!$D$2:$D$3000,MATCH(G44,Commerciaux!$A$2:$A$3000,0)),"")</f>
        <v/>
      </c>
      <c r="I44" s="57" t="inlineStr">
        <is>
          <t>Ventes terrain</t>
        </is>
      </c>
      <c r="J44" s="57" t="inlineStr">
        <is>
          <t>Conclu gagné</t>
        </is>
      </c>
      <c r="K44" s="62">
        <f>IFERROR(INDEX(Paramètres!$B$7:$B$13,MATCH(J44,Paramètres!$A$7:$A$13,0)),"")</f>
        <v/>
      </c>
      <c r="L44" s="59" t="n">
        <v>495000</v>
      </c>
      <c r="M44" s="59">
        <f>IF(OR(L44="",K44=""),"",L44*K44)</f>
        <v/>
      </c>
      <c r="N44" s="57">
        <f>IFERROR(INDEX(Paramètres!$C$7:$C$13,MATCH(J44,Paramètres!$A$7:$A$13,0)),"")</f>
        <v/>
      </c>
      <c r="O44" s="57" t="inlineStr">
        <is>
          <t>Affaire existante</t>
        </is>
      </c>
      <c r="P44" s="57" t="inlineStr">
        <is>
          <t>P005</t>
        </is>
      </c>
      <c r="Q44" s="57">
        <f>IFERROR(INDEX(Produits!$C$2:$C$3000,MATCH(P44,Produits!$A$2:$A$3000,0)),"")</f>
        <v/>
      </c>
      <c r="R44" s="58" t="n">
        <v>45950</v>
      </c>
      <c r="S44" s="58" t="n">
        <v>46063</v>
      </c>
      <c r="T44" s="58" t="n">
        <v>46063</v>
      </c>
      <c r="U44" s="40" t="n"/>
      <c r="V44" s="57" t="n"/>
      <c r="W44" s="57" t="n"/>
    </row>
    <row r="45" ht="15" customHeight="1" s="34">
      <c r="A45" s="57" t="inlineStr">
        <is>
          <t>T044</t>
        </is>
      </c>
      <c r="B45" s="57" t="inlineStr">
        <is>
          <t>Savencia - Étiquettes gamme export</t>
        </is>
      </c>
      <c r="C45" s="57" t="inlineStr">
        <is>
          <t>E028</t>
        </is>
      </c>
      <c r="D45" s="57">
        <f>IFERROR(INDEX(Entreprises!$B$2:$B$3000,MATCH(C45,Entreprises!$A$2:$A$3000,0)),"")</f>
        <v/>
      </c>
      <c r="E45" s="57" t="inlineStr">
        <is>
          <t>C047</t>
        </is>
      </c>
      <c r="F45" s="57">
        <f>IFERROR(INDEX(Contacts!$E$2:$E$3000,MATCH(E45,Contacts!$A$2:$A$3000,0)),"")</f>
        <v/>
      </c>
      <c r="G45" s="57" t="inlineStr">
        <is>
          <t>U007</t>
        </is>
      </c>
      <c r="H45" s="57">
        <f>IFERROR(INDEX(Commerciaux!$D$2:$D$3000,MATCH(G45,Commerciaux!$A$2:$A$3000,0)),"")</f>
        <v/>
      </c>
      <c r="I45" s="57" t="inlineStr">
        <is>
          <t>Ventes terrain</t>
        </is>
      </c>
      <c r="J45" s="57" t="inlineStr">
        <is>
          <t>Contrat envoyé</t>
        </is>
      </c>
      <c r="K45" s="62">
        <f>IFERROR(INDEX(Paramètres!$B$7:$B$13,MATCH(J45,Paramètres!$A$7:$A$13,0)),"")</f>
        <v/>
      </c>
      <c r="L45" s="59" t="n">
        <v>68000</v>
      </c>
      <c r="M45" s="59">
        <f>IF(OR(L45="",K45=""),"",L45*K45)</f>
        <v/>
      </c>
      <c r="N45" s="57">
        <f>IFERROR(INDEX(Paramètres!$C$7:$C$13,MATCH(J45,Paramètres!$A$7:$A$13,0)),"")</f>
        <v/>
      </c>
      <c r="O45" s="57" t="inlineStr">
        <is>
          <t>Nouvelle affaire</t>
        </is>
      </c>
      <c r="P45" s="57" t="inlineStr">
        <is>
          <t>P003</t>
        </is>
      </c>
      <c r="Q45" s="57">
        <f>IFERROR(INDEX(Produits!$C$2:$C$3000,MATCH(P45,Produits!$A$2:$A$3000,0)),"")</f>
        <v/>
      </c>
      <c r="R45" s="58" t="n">
        <v>46181</v>
      </c>
      <c r="S45" s="58" t="n">
        <v>46325</v>
      </c>
      <c r="T45" s="58" t="n"/>
      <c r="U45" s="40" t="inlineStr">
        <is>
          <t>Finaliser le contrat (délais de paiement)</t>
        </is>
      </c>
      <c r="V45" s="57" t="n"/>
      <c r="W45" s="57" t="n"/>
    </row>
    <row r="46" ht="15" customHeight="1" s="34">
      <c r="A46" s="57" t="inlineStr">
        <is>
          <t>T045</t>
        </is>
      </c>
      <c r="B46" s="57" t="inlineStr">
        <is>
          <t>Saint-Gobain - Emballages de transport distribution</t>
        </is>
      </c>
      <c r="C46" s="57" t="inlineStr">
        <is>
          <t>E029</t>
        </is>
      </c>
      <c r="D46" s="57">
        <f>IFERROR(INDEX(Entreprises!$B$2:$B$3000,MATCH(C46,Entreprises!$A$2:$A$3000,0)),"")</f>
        <v/>
      </c>
      <c r="E46" s="57" t="inlineStr">
        <is>
          <t>C048</t>
        </is>
      </c>
      <c r="F46" s="57">
        <f>IFERROR(INDEX(Contacts!$E$2:$E$3000,MATCH(E46,Contacts!$A$2:$A$3000,0)),"")</f>
        <v/>
      </c>
      <c r="G46" s="57" t="inlineStr">
        <is>
          <t>U007</t>
        </is>
      </c>
      <c r="H46" s="57">
        <f>IFERROR(INDEX(Commerciaux!$D$2:$D$3000,MATCH(G46,Commerciaux!$A$2:$A$3000,0)),"")</f>
        <v/>
      </c>
      <c r="I46" s="57" t="inlineStr">
        <is>
          <t>Ventes terrain</t>
        </is>
      </c>
      <c r="J46" s="57" t="inlineStr">
        <is>
          <t>Rendez-vous programmé</t>
        </is>
      </c>
      <c r="K46" s="62">
        <f>IFERROR(INDEX(Paramètres!$B$7:$B$13,MATCH(J46,Paramètres!$A$7:$A$13,0)),"")</f>
        <v/>
      </c>
      <c r="L46" s="59" t="n">
        <v>250000</v>
      </c>
      <c r="M46" s="59">
        <f>IF(OR(L46="",K46=""),"",L46*K46)</f>
        <v/>
      </c>
      <c r="N46" s="57">
        <f>IFERROR(INDEX(Paramètres!$C$7:$C$13,MATCH(J46,Paramètres!$A$7:$A$13,0)),"")</f>
        <v/>
      </c>
      <c r="O46" s="57" t="inlineStr">
        <is>
          <t>Nouvelle affaire</t>
        </is>
      </c>
      <c r="P46" s="57" t="inlineStr">
        <is>
          <t>P007</t>
        </is>
      </c>
      <c r="Q46" s="57">
        <f>IFERROR(INDEX(Produits!$C$2:$C$3000,MATCH(P46,Produits!$A$2:$A$3000,0)),"")</f>
        <v/>
      </c>
      <c r="R46" s="58" t="n">
        <v>46209</v>
      </c>
      <c r="S46" s="58" t="n">
        <v>46535</v>
      </c>
      <c r="T46" s="58" t="n"/>
      <c r="U46" s="40" t="inlineStr">
        <is>
          <t>Rendez-vous de découverte le 03/11</t>
        </is>
      </c>
      <c r="V46" s="57" t="n"/>
      <c r="W46" s="57" t="n"/>
    </row>
    <row r="47" ht="15" customHeight="1" s="34">
      <c r="A47" s="57" t="inlineStr">
        <is>
          <t>T046</t>
        </is>
      </c>
      <c r="B47" s="57" t="inlineStr">
        <is>
          <t>Schneider Electric - Emballages sans plastique distribution</t>
        </is>
      </c>
      <c r="C47" s="57" t="inlineStr">
        <is>
          <t>E030</t>
        </is>
      </c>
      <c r="D47" s="57">
        <f>IFERROR(INDEX(Entreprises!$B$2:$B$3000,MATCH(C47,Entreprises!$A$2:$A$3000,0)),"")</f>
        <v/>
      </c>
      <c r="E47" s="57" t="inlineStr">
        <is>
          <t>C049</t>
        </is>
      </c>
      <c r="F47" s="57">
        <f>IFERROR(INDEX(Contacts!$E$2:$E$3000,MATCH(E47,Contacts!$A$2:$A$3000,0)),"")</f>
        <v/>
      </c>
      <c r="G47" s="57" t="inlineStr">
        <is>
          <t>U007</t>
        </is>
      </c>
      <c r="H47" s="57">
        <f>IFERROR(INDEX(Commerciaux!$D$2:$D$3000,MATCH(G47,Commerciaux!$A$2:$A$3000,0)),"")</f>
        <v/>
      </c>
      <c r="I47" s="57" t="inlineStr">
        <is>
          <t>Ventes terrain</t>
        </is>
      </c>
      <c r="J47" s="57" t="inlineStr">
        <is>
          <t>Décideur impliqué</t>
        </is>
      </c>
      <c r="K47" s="62">
        <f>IFERROR(INDEX(Paramètres!$B$7:$B$13,MATCH(J47,Paramètres!$A$7:$A$13,0)),"")</f>
        <v/>
      </c>
      <c r="L47" s="59" t="n">
        <v>290000</v>
      </c>
      <c r="M47" s="59">
        <f>IF(OR(L47="",K47=""),"",L47*K47)</f>
        <v/>
      </c>
      <c r="N47" s="57">
        <f>IFERROR(INDEX(Paramètres!$C$7:$C$13,MATCH(J47,Paramètres!$A$7:$A$13,0)),"")</f>
        <v/>
      </c>
      <c r="O47" s="57" t="inlineStr">
        <is>
          <t>Nouvelle affaire</t>
        </is>
      </c>
      <c r="P47" s="57" t="inlineStr">
        <is>
          <t>P008</t>
        </is>
      </c>
      <c r="Q47" s="57">
        <f>IFERROR(INDEX(Produits!$C$2:$C$3000,MATCH(P47,Produits!$A$2:$A$3000,0)),"")</f>
        <v/>
      </c>
      <c r="R47" s="58" t="n">
        <v>46119</v>
      </c>
      <c r="S47" s="58" t="n">
        <v>46367</v>
      </c>
      <c r="T47" s="58" t="n"/>
      <c r="U47" s="40" t="inlineStr">
        <is>
          <t>Comité de sélection le 30/10</t>
        </is>
      </c>
      <c r="V47" s="57" t="inlineStr">
        <is>
          <t>Emballor Industries</t>
        </is>
      </c>
      <c r="W47" s="57" t="n"/>
    </row>
    <row r="48" ht="15" customHeight="1" s="34">
      <c r="A48" s="57" t="inlineStr">
        <is>
          <t>T047</t>
        </is>
      </c>
      <c r="B48" s="57" t="inlineStr">
        <is>
          <t>Schneider Electric - Audit lignes de conditionnement</t>
        </is>
      </c>
      <c r="C48" s="57" t="inlineStr">
        <is>
          <t>E030</t>
        </is>
      </c>
      <c r="D48" s="57">
        <f>IFERROR(INDEX(Entreprises!$B$2:$B$3000,MATCH(C48,Entreprises!$A$2:$A$3000,0)),"")</f>
        <v/>
      </c>
      <c r="E48" s="57" t="inlineStr">
        <is>
          <t>C050</t>
        </is>
      </c>
      <c r="F48" s="57">
        <f>IFERROR(INDEX(Contacts!$E$2:$E$3000,MATCH(E48,Contacts!$A$2:$A$3000,0)),"")</f>
        <v/>
      </c>
      <c r="G48" s="57" t="inlineStr">
        <is>
          <t>U007</t>
        </is>
      </c>
      <c r="H48" s="57">
        <f>IFERROR(INDEX(Commerciaux!$D$2:$D$3000,MATCH(G48,Commerciaux!$A$2:$A$3000,0)),"")</f>
        <v/>
      </c>
      <c r="I48" s="57" t="inlineStr">
        <is>
          <t>Ventes terrain</t>
        </is>
      </c>
      <c r="J48" s="57" t="inlineStr">
        <is>
          <t>Conclu perdu</t>
        </is>
      </c>
      <c r="K48" s="62">
        <f>IFERROR(INDEX(Paramètres!$B$7:$B$13,MATCH(J48,Paramètres!$A$7:$A$13,0)),"")</f>
        <v/>
      </c>
      <c r="L48" s="59" t="n">
        <v>14400</v>
      </c>
      <c r="M48" s="59">
        <f>IF(OR(L48="",K48=""),"",L48*K48)</f>
        <v/>
      </c>
      <c r="N48" s="57">
        <f>IFERROR(INDEX(Paramètres!$C$7:$C$13,MATCH(J48,Paramètres!$A$7:$A$13,0)),"")</f>
        <v/>
      </c>
      <c r="O48" s="57" t="inlineStr">
        <is>
          <t>Nouvelle affaire</t>
        </is>
      </c>
      <c r="P48" s="57" t="inlineStr">
        <is>
          <t>P013</t>
        </is>
      </c>
      <c r="Q48" s="57">
        <f>IFERROR(INDEX(Produits!$C$2:$C$3000,MATCH(P48,Produits!$A$2:$A$3000,0)),"")</f>
        <v/>
      </c>
      <c r="R48" s="58" t="n">
        <v>45810</v>
      </c>
      <c r="S48" s="58" t="n">
        <v>45918</v>
      </c>
      <c r="T48" s="58" t="n">
        <v>45918</v>
      </c>
      <c r="U48" s="40" t="n"/>
      <c r="V48" s="57" t="n"/>
      <c r="W48" s="57" t="inlineStr">
        <is>
          <t>Projet reporté par le client</t>
        </is>
      </c>
    </row>
    <row r="49" ht="15" customHeight="1" s="34">
      <c r="A49" s="57" t="inlineStr">
        <is>
          <t>T048</t>
        </is>
      </c>
      <c r="B49" s="57" t="inlineStr">
        <is>
          <t>Danone - Étiquettes promotionnelles 2025</t>
        </is>
      </c>
      <c r="C49" s="57" t="inlineStr">
        <is>
          <t>E026</t>
        </is>
      </c>
      <c r="D49" s="57">
        <f>IFERROR(INDEX(Entreprises!$B$2:$B$3000,MATCH(C49,Entreprises!$A$2:$A$3000,0)),"")</f>
        <v/>
      </c>
      <c r="E49" s="57" t="inlineStr">
        <is>
          <t>C042</t>
        </is>
      </c>
      <c r="F49" s="57">
        <f>IFERROR(INDEX(Contacts!$E$2:$E$3000,MATCH(E49,Contacts!$A$2:$A$3000,0)),"")</f>
        <v/>
      </c>
      <c r="G49" s="57" t="inlineStr">
        <is>
          <t>U007</t>
        </is>
      </c>
      <c r="H49" s="57">
        <f>IFERROR(INDEX(Commerciaux!$D$2:$D$3000,MATCH(G49,Commerciaux!$A$2:$A$3000,0)),"")</f>
        <v/>
      </c>
      <c r="I49" s="57" t="inlineStr">
        <is>
          <t>Ventes terrain</t>
        </is>
      </c>
      <c r="J49" s="57" t="inlineStr">
        <is>
          <t>Conclu perdu</t>
        </is>
      </c>
      <c r="K49" s="62">
        <f>IFERROR(INDEX(Paramètres!$B$7:$B$13,MATCH(J49,Paramètres!$A$7:$A$13,0)),"")</f>
        <v/>
      </c>
      <c r="L49" s="59" t="n">
        <v>85000</v>
      </c>
      <c r="M49" s="59">
        <f>IF(OR(L49="",K49=""),"",L49*K49)</f>
        <v/>
      </c>
      <c r="N49" s="57">
        <f>IFERROR(INDEX(Paramètres!$C$7:$C$13,MATCH(J49,Paramètres!$A$7:$A$13,0)),"")</f>
        <v/>
      </c>
      <c r="O49" s="57" t="inlineStr">
        <is>
          <t>Nouvelle affaire</t>
        </is>
      </c>
      <c r="P49" s="57" t="inlineStr">
        <is>
          <t>P003</t>
        </is>
      </c>
      <c r="Q49" s="57">
        <f>IFERROR(INDEX(Produits!$C$2:$C$3000,MATCH(P49,Produits!$A$2:$A$3000,0)),"")</f>
        <v/>
      </c>
      <c r="R49" s="58" t="n">
        <v>45698</v>
      </c>
      <c r="S49" s="58" t="n">
        <v>45799</v>
      </c>
      <c r="T49" s="58" t="n">
        <v>45799</v>
      </c>
      <c r="U49" s="40" t="n"/>
      <c r="V49" s="57" t="inlineStr">
        <is>
          <t>Labelis Group</t>
        </is>
      </c>
      <c r="W49" s="57" t="inlineStr">
        <is>
          <t>Prix</t>
        </is>
      </c>
    </row>
    <row r="50" ht="15" customHeight="1" s="34">
      <c r="A50" s="57" t="inlineStr">
        <is>
          <t>T049</t>
        </is>
      </c>
      <c r="B50" s="57" t="inlineStr">
        <is>
          <t>Boiron - Notices 2025</t>
        </is>
      </c>
      <c r="C50" s="57" t="inlineStr">
        <is>
          <t>E013</t>
        </is>
      </c>
      <c r="D50" s="57">
        <f>IFERROR(INDEX(Entreprises!$B$2:$B$3000,MATCH(C50,Entreprises!$A$2:$A$3000,0)),"")</f>
        <v/>
      </c>
      <c r="E50" s="57" t="inlineStr">
        <is>
          <t>C021</t>
        </is>
      </c>
      <c r="F50" s="57">
        <f>IFERROR(INDEX(Contacts!$E$2:$E$3000,MATCH(E50,Contacts!$A$2:$A$3000,0)),"")</f>
        <v/>
      </c>
      <c r="G50" s="57" t="inlineStr">
        <is>
          <t>U004</t>
        </is>
      </c>
      <c r="H50" s="57">
        <f>IFERROR(INDEX(Commerciaux!$D$2:$D$3000,MATCH(G50,Commerciaux!$A$2:$A$3000,0)),"")</f>
        <v/>
      </c>
      <c r="I50" s="57" t="inlineStr">
        <is>
          <t>Ventes terrain</t>
        </is>
      </c>
      <c r="J50" s="57" t="inlineStr">
        <is>
          <t>Conclu gagné</t>
        </is>
      </c>
      <c r="K50" s="62">
        <f>IFERROR(INDEX(Paramètres!$B$7:$B$13,MATCH(J50,Paramètres!$A$7:$A$13,0)),"")</f>
        <v/>
      </c>
      <c r="L50" s="59" t="n">
        <v>58000</v>
      </c>
      <c r="M50" s="59">
        <f>IF(OR(L50="",K50=""),"",L50*K50)</f>
        <v/>
      </c>
      <c r="N50" s="57">
        <f>IFERROR(INDEX(Paramètres!$C$7:$C$13,MATCH(J50,Paramètres!$A$7:$A$13,0)),"")</f>
        <v/>
      </c>
      <c r="O50" s="57" t="inlineStr">
        <is>
          <t>Renouvellement</t>
        </is>
      </c>
      <c r="P50" s="57" t="inlineStr">
        <is>
          <t>P002</t>
        </is>
      </c>
      <c r="Q50" s="57">
        <f>IFERROR(INDEX(Produits!$C$2:$C$3000,MATCH(P50,Produits!$A$2:$A$3000,0)),"")</f>
        <v/>
      </c>
      <c r="R50" s="58" t="n">
        <v>45614</v>
      </c>
      <c r="S50" s="58" t="n">
        <v>45693</v>
      </c>
      <c r="T50" s="58" t="n">
        <v>45693</v>
      </c>
      <c r="U50" s="40" t="n"/>
      <c r="V50" s="57" t="n"/>
      <c r="W50" s="57" t="n"/>
    </row>
    <row r="51" ht="15" customHeight="1" s="34">
      <c r="A51" s="57" t="inlineStr">
        <is>
          <t>T050</t>
        </is>
      </c>
      <c r="B51" s="57" t="inlineStr">
        <is>
          <t>Laurent-Perrier - Caisses export 2026</t>
        </is>
      </c>
      <c r="C51" s="57" t="inlineStr">
        <is>
          <t>E009</t>
        </is>
      </c>
      <c r="D51" s="57">
        <f>IFERROR(INDEX(Entreprises!$B$2:$B$3000,MATCH(C51,Entreprises!$A$2:$A$3000,0)),"")</f>
        <v/>
      </c>
      <c r="E51" s="57" t="inlineStr">
        <is>
          <t>C014</t>
        </is>
      </c>
      <c r="F51" s="57">
        <f>IFERROR(INDEX(Contacts!$E$2:$E$3000,MATCH(E51,Contacts!$A$2:$A$3000,0)),"")</f>
        <v/>
      </c>
      <c r="G51" s="57" t="inlineStr">
        <is>
          <t>U003</t>
        </is>
      </c>
      <c r="H51" s="57">
        <f>IFERROR(INDEX(Commerciaux!$D$2:$D$3000,MATCH(G51,Commerciaux!$A$2:$A$3000,0)),"")</f>
        <v/>
      </c>
      <c r="I51" s="57" t="inlineStr">
        <is>
          <t>Ventes terrain</t>
        </is>
      </c>
      <c r="J51" s="57" t="inlineStr">
        <is>
          <t>Conclu gagné</t>
        </is>
      </c>
      <c r="K51" s="62">
        <f>IFERROR(INDEX(Paramètres!$B$7:$B$13,MATCH(J51,Paramètres!$A$7:$A$13,0)),"")</f>
        <v/>
      </c>
      <c r="L51" s="59" t="n">
        <v>46000</v>
      </c>
      <c r="M51" s="59">
        <f>IF(OR(L51="",K51=""),"",L51*K51)</f>
        <v/>
      </c>
      <c r="N51" s="57">
        <f>IFERROR(INDEX(Paramètres!$C$7:$C$13,MATCH(J51,Paramètres!$A$7:$A$13,0)),"")</f>
        <v/>
      </c>
      <c r="O51" s="57" t="inlineStr">
        <is>
          <t>Affaire existante</t>
        </is>
      </c>
      <c r="P51" s="57" t="inlineStr">
        <is>
          <t>P007</t>
        </is>
      </c>
      <c r="Q51" s="57">
        <f>IFERROR(INDEX(Produits!$C$2:$C$3000,MATCH(P51,Produits!$A$2:$A$3000,0)),"")</f>
        <v/>
      </c>
      <c r="R51" s="58" t="n">
        <v>45971</v>
      </c>
      <c r="S51" s="58" t="n">
        <v>46034</v>
      </c>
      <c r="T51" s="58" t="n">
        <v>46034</v>
      </c>
      <c r="U51" s="40" t="n"/>
      <c r="V51" s="57" t="n"/>
      <c r="W51" s="57" t="n"/>
    </row>
  </sheetData>
  <dataValidations count="6">
    <dataValidation sqref="J2:J251" showDropDown="0" showInputMessage="0" showErrorMessage="1" allowBlank="1" errorTitle="Valeur non autorisée" error="Choisissez une valeur dans la liste." type="list" errorStyle="stop" operator="between">
      <formula1>Paramètres!$A$7:$A$13</formula1>
      <formula2>0</formula2>
    </dataValidation>
    <dataValidation sqref="O2:O251" showDropDown="0" showInputMessage="0" showErrorMessage="1" allowBlank="1" errorTitle="Valeur non autorisée" error="Choisissez une valeur dans la liste." type="list" errorStyle="stop" operator="between">
      <formula1>Paramètres!$Q$7:$Q$9</formula1>
      <formula2>0</formula2>
    </dataValidation>
    <dataValidation sqref="C2:C251" showDropDown="0" showInputMessage="0" showErrorMessage="1" allowBlank="1" errorTitle="Valeur non autorisée" error="Choisissez une valeur dans la liste." type="list" errorStyle="stop" operator="between">
      <formula1>Entreprises!$A$2:$A$3000</formula1>
      <formula2>0</formula2>
    </dataValidation>
    <dataValidation sqref="E2:E251" showDropDown="0" showInputMessage="0" showErrorMessage="1" allowBlank="1" errorTitle="Valeur non autorisée" error="Choisissez une valeur dans la liste." type="list" errorStyle="stop" operator="between">
      <formula1>Contacts!$A$2:$A$3000</formula1>
      <formula2>0</formula2>
    </dataValidation>
    <dataValidation sqref="G2:G251" showDropDown="0" showInputMessage="0" showErrorMessage="1" allowBlank="1" errorTitle="Valeur non autorisée" error="Choisissez une valeur dans la liste." type="list" errorStyle="stop" operator="between">
      <formula1>Commerciaux!$A$2:$A$3000</formula1>
      <formula2>0</formula2>
    </dataValidation>
    <dataValidation sqref="P2:P251" showDropDown="0" showInputMessage="0" showErrorMessage="1" allowBlank="1" errorTitle="Valeur non autorisée" error="Choisissez une valeur dans la liste." type="list" errorStyle="stop" operator="between">
      <formula1>Produits!$A$2:$A$3000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8.xml><?xml version="1.0" encoding="utf-8"?>
<worksheet xmlns="http://schemas.openxmlformats.org/spreadsheetml/2006/main">
  <sheetPr filterMode="0">
    <outlinePr summaryBelow="1" summaryRight="1"/>
    <pageSetUpPr fitToPage="0"/>
  </sheetPr>
  <dimension ref="A1:Q255"/>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11" customWidth="1" style="33" min="1" max="1"/>
    <col width="12" customWidth="1" style="33" min="2" max="2"/>
    <col width="14" customWidth="1" style="33" min="3" max="3"/>
    <col width="12" customWidth="1" style="33" min="4" max="4"/>
    <col width="20" customWidth="1" style="33" min="5" max="5"/>
    <col width="11" customWidth="1" style="33" min="6" max="6"/>
    <col width="20" customWidth="1" style="33" min="7" max="7"/>
    <col width="12" customWidth="1" style="33" min="8" max="8"/>
    <col width="18" customWidth="1" style="33" min="9" max="9"/>
    <col width="34" customWidth="1" style="33" min="10" max="10"/>
    <col width="80" customWidth="1" style="33" min="11" max="11"/>
    <col width="11" customWidth="1" style="33" min="12" max="12"/>
    <col width="13" customWidth="1" style="33" min="13" max="13"/>
    <col width="40" customWidth="1" style="33" min="14" max="14"/>
    <col width="13" customWidth="1" style="33" min="15" max="15"/>
    <col width="10" customWidth="1" style="33" min="16" max="16"/>
    <col width="28" customWidth="1" style="33" min="17" max="17"/>
  </cols>
  <sheetData>
    <row r="1" ht="31.5" customHeight="1" s="34">
      <c r="A1" s="55" t="inlineStr">
        <is>
          <t>ID activité</t>
        </is>
      </c>
      <c r="B1" s="55" t="inlineStr">
        <is>
          <t>Date</t>
        </is>
      </c>
      <c r="C1" s="55" t="inlineStr">
        <is>
          <t>Type d'activité</t>
        </is>
      </c>
      <c r="D1" s="55" t="inlineStr">
        <is>
          <t>ID entreprise</t>
        </is>
      </c>
      <c r="E1" s="56" t="inlineStr">
        <is>
          <t>Entreprise</t>
        </is>
      </c>
      <c r="F1" s="55" t="inlineStr">
        <is>
          <t>ID contact</t>
        </is>
      </c>
      <c r="G1" s="56" t="inlineStr">
        <is>
          <t>Contact</t>
        </is>
      </c>
      <c r="H1" s="55" t="inlineStr">
        <is>
          <t>ID commercial</t>
        </is>
      </c>
      <c r="I1" s="56" t="inlineStr">
        <is>
          <t>Commercial</t>
        </is>
      </c>
      <c r="J1" s="55" t="inlineStr">
        <is>
          <t>Objet</t>
        </is>
      </c>
      <c r="K1" s="55" t="inlineStr">
        <is>
          <t>Compte rendu / contenu</t>
        </is>
      </c>
      <c r="L1" s="55" t="inlineStr">
        <is>
          <t>Résultat</t>
        </is>
      </c>
      <c r="M1" s="55" t="inlineStr">
        <is>
          <t>ID transaction associée</t>
        </is>
      </c>
      <c r="N1" s="55" t="inlineStr">
        <is>
          <t>Prochaine action</t>
        </is>
      </c>
      <c r="O1" s="55" t="inlineStr">
        <is>
          <t>Échéance prochaine action</t>
        </is>
      </c>
      <c r="P1" s="55" t="inlineStr">
        <is>
          <t>Durée (min)</t>
        </is>
      </c>
      <c r="Q1" s="55" t="inlineStr">
        <is>
          <t>Autres participants client</t>
        </is>
      </c>
    </row>
    <row r="2" ht="35.05" customHeight="1" s="34">
      <c r="A2" s="57" t="inlineStr">
        <is>
          <t>A0001</t>
        </is>
      </c>
      <c r="B2" s="58" t="n">
        <v>45664</v>
      </c>
      <c r="C2" s="57" t="inlineStr">
        <is>
          <t>Visite terrain</t>
        </is>
      </c>
      <c r="D2" s="57" t="inlineStr">
        <is>
          <t>E009</t>
        </is>
      </c>
      <c r="E2" s="57">
        <f>IFERROR(INDEX(Entreprises!$B$2:$B$3000,MATCH(D2,Entreprises!$A$2:$A$3000,0)),"")</f>
        <v/>
      </c>
      <c r="F2" s="57" t="inlineStr">
        <is>
          <t>C014</t>
        </is>
      </c>
      <c r="G2" s="57">
        <f>IFERROR(INDEX(Contacts!$E$2:$E$3000,MATCH(F2,Contacts!$A$2:$A$3000,0)),"")</f>
        <v/>
      </c>
      <c r="H2" s="57" t="inlineStr">
        <is>
          <t>U003</t>
        </is>
      </c>
      <c r="I2" s="57">
        <f>IFERROR(INDEX(Commerciaux!$D$2:$D$3000,MATCH(H2,Commerciaux!$A$2:$A$3000,0)),"")</f>
        <v/>
      </c>
      <c r="J2" s="57" t="inlineStr">
        <is>
          <t>Visite de la ligne de conditionnement</t>
        </is>
      </c>
      <c r="K2" s="40" t="inlineStr">
        <is>
          <t>Visite du site avec Jean-Marc Lambert et l'équipe de production. Observation de la ligne de conditionnement ; points d'amélioration identifiés sur les changements de format. Intérêt exprimé pour le renouvellement des étuis de la gamme rosé.</t>
        </is>
      </c>
      <c r="L2" s="57" t="inlineStr">
        <is>
          <t>Positif</t>
        </is>
      </c>
      <c r="M2" s="57" t="n"/>
      <c r="N2" s="57" t="inlineStr">
        <is>
          <t>Planifier une visite de site</t>
        </is>
      </c>
      <c r="O2" s="58" t="n">
        <v>45671</v>
      </c>
      <c r="P2" s="60" t="n">
        <v>75</v>
      </c>
      <c r="Q2" s="57" t="n"/>
    </row>
    <row r="3" ht="23.85" customHeight="1" s="34">
      <c r="A3" s="57" t="inlineStr">
        <is>
          <t>A0002</t>
        </is>
      </c>
      <c r="B3" s="58" t="n">
        <v>45664</v>
      </c>
      <c r="C3" s="57" t="inlineStr">
        <is>
          <t>Note</t>
        </is>
      </c>
      <c r="D3" s="57" t="inlineStr">
        <is>
          <t>E011</t>
        </is>
      </c>
      <c r="E3" s="57">
        <f>IFERROR(INDEX(Entreprises!$B$2:$B$3000,MATCH(D3,Entreprises!$A$2:$A$3000,0)),"")</f>
        <v/>
      </c>
      <c r="F3" s="57" t="inlineStr">
        <is>
          <t>C018</t>
        </is>
      </c>
      <c r="G3" s="57">
        <f>IFERROR(INDEX(Contacts!$E$2:$E$3000,MATCH(F3,Contacts!$A$2:$A$3000,0)),"")</f>
        <v/>
      </c>
      <c r="H3" s="57" t="inlineStr">
        <is>
          <t>U003</t>
        </is>
      </c>
      <c r="I3" s="57">
        <f>IFERROR(INDEX(Commerciaux!$D$2:$D$3000,MATCH(H3,Commerciaux!$A$2:$A$3000,0)),"")</f>
        <v/>
      </c>
      <c r="J3" s="57" t="inlineStr">
        <is>
          <t>Préparation négociation</t>
        </is>
      </c>
      <c r="K3" s="40" t="inlineStr">
        <is>
          <t>Note interne : préparer un comparatif de prix face à Emballor Industries avant la prochaine négociation.</t>
        </is>
      </c>
      <c r="L3" s="57" t="inlineStr">
        <is>
          <t>Neutre</t>
        </is>
      </c>
      <c r="M3" s="57" t="n"/>
      <c r="N3" s="57" t="n"/>
      <c r="O3" s="58" t="n"/>
      <c r="P3" s="60" t="n"/>
      <c r="Q3" s="57" t="n"/>
    </row>
    <row r="4" ht="35.05" customHeight="1" s="34">
      <c r="A4" s="57" t="inlineStr">
        <is>
          <t>A0003</t>
        </is>
      </c>
      <c r="B4" s="58" t="n">
        <v>45667</v>
      </c>
      <c r="C4" s="57" t="inlineStr">
        <is>
          <t>Visite terrain</t>
        </is>
      </c>
      <c r="D4" s="57" t="inlineStr">
        <is>
          <t>E023</t>
        </is>
      </c>
      <c r="E4" s="57">
        <f>IFERROR(INDEX(Entreprises!$B$2:$B$3000,MATCH(D4,Entreprises!$A$2:$A$3000,0)),"")</f>
        <v/>
      </c>
      <c r="F4" s="57" t="inlineStr">
        <is>
          <t>C037</t>
        </is>
      </c>
      <c r="G4" s="57">
        <f>IFERROR(INDEX(Contacts!$E$2:$E$3000,MATCH(F4,Contacts!$A$2:$A$3000,0)),"")</f>
        <v/>
      </c>
      <c r="H4" s="57" t="inlineStr">
        <is>
          <t>U006</t>
        </is>
      </c>
      <c r="I4" s="57">
        <f>IFERROR(INDEX(Commerciaux!$D$2:$D$3000,MATCH(H4,Commerciaux!$A$2:$A$3000,0)),"")</f>
        <v/>
      </c>
      <c r="J4" s="57" t="inlineStr">
        <is>
          <t>Revue d'activité semestrielle</t>
        </is>
      </c>
      <c r="K4" s="40" t="inlineStr">
        <is>
          <t>Revue d'activité semestrielle avec Caroline Lefèvre. Satisfaction globale sur la qualité ; demande de visibilité sur l'évolution des prix des matières. Échange sur les étiquettes d'inviolabilité sur toute la gamme.</t>
        </is>
      </c>
      <c r="L4" s="57" t="inlineStr">
        <is>
          <t>Négatif</t>
        </is>
      </c>
      <c r="M4" s="57" t="n"/>
      <c r="N4" s="57" t="inlineStr">
        <is>
          <t>Envoyer le devis</t>
        </is>
      </c>
      <c r="O4" s="58" t="n">
        <v>45678</v>
      </c>
      <c r="P4" s="60" t="n">
        <v>120</v>
      </c>
      <c r="Q4" s="57" t="n"/>
    </row>
    <row r="5" ht="23.85" customHeight="1" s="34">
      <c r="A5" s="57" t="inlineStr">
        <is>
          <t>A0004</t>
        </is>
      </c>
      <c r="B5" s="58" t="n">
        <v>45672</v>
      </c>
      <c r="C5" s="57" t="inlineStr">
        <is>
          <t>Visite terrain</t>
        </is>
      </c>
      <c r="D5" s="57" t="inlineStr">
        <is>
          <t>E004</t>
        </is>
      </c>
      <c r="E5" s="57">
        <f>IFERROR(INDEX(Entreprises!$B$2:$B$3000,MATCH(D5,Entreprises!$A$2:$A$3000,0)),"")</f>
        <v/>
      </c>
      <c r="F5" s="57" t="inlineStr">
        <is>
          <t>C008</t>
        </is>
      </c>
      <c r="G5" s="57">
        <f>IFERROR(INDEX(Contacts!$E$2:$E$3000,MATCH(F5,Contacts!$A$2:$A$3000,0)),"")</f>
        <v/>
      </c>
      <c r="H5" s="57" t="inlineStr">
        <is>
          <t>U002</t>
        </is>
      </c>
      <c r="I5" s="57">
        <f>IFERROR(INDEX(Commerciaux!$D$2:$D$3000,MATCH(H5,Commerciaux!$A$2:$A$3000,0)),"")</f>
        <v/>
      </c>
      <c r="J5" s="57" t="inlineStr">
        <is>
          <t>Présentation des nouveautés 2025</t>
        </is>
      </c>
      <c r="K5" s="40" t="inlineStr">
        <is>
          <t>Présentation des nouveautés 2025 à Hugo Perrin, notamment les emballages éco-conçus mono-matériau. Accueil favorable et demande d'échantillons.</t>
        </is>
      </c>
      <c r="L5" s="57" t="inlineStr">
        <is>
          <t>Positif</t>
        </is>
      </c>
      <c r="M5" s="57" t="n"/>
      <c r="N5" s="57" t="inlineStr">
        <is>
          <t>Envoyer le devis</t>
        </is>
      </c>
      <c r="O5" s="58" t="n">
        <v>45684</v>
      </c>
      <c r="P5" s="60" t="n">
        <v>60</v>
      </c>
      <c r="Q5" s="57" t="n"/>
    </row>
    <row r="6" ht="35.05" customHeight="1" s="34">
      <c r="A6" s="57" t="inlineStr">
        <is>
          <t>A0005</t>
        </is>
      </c>
      <c r="B6" s="58" t="n">
        <v>45678</v>
      </c>
      <c r="C6" s="57" t="inlineStr">
        <is>
          <t>Visite terrain</t>
        </is>
      </c>
      <c r="D6" s="57" t="inlineStr">
        <is>
          <t>E028</t>
        </is>
      </c>
      <c r="E6" s="57">
        <f>IFERROR(INDEX(Entreprises!$B$2:$B$3000,MATCH(D6,Entreprises!$A$2:$A$3000,0)),"")</f>
        <v/>
      </c>
      <c r="F6" s="57" t="inlineStr">
        <is>
          <t>C047</t>
        </is>
      </c>
      <c r="G6" s="57">
        <f>IFERROR(INDEX(Contacts!$E$2:$E$3000,MATCH(F6,Contacts!$A$2:$A$3000,0)),"")</f>
        <v/>
      </c>
      <c r="H6" s="57" t="inlineStr">
        <is>
          <t>U007</t>
        </is>
      </c>
      <c r="I6" s="57">
        <f>IFERROR(INDEX(Commerciaux!$D$2:$D$3000,MATCH(H6,Commerciaux!$A$2:$A$3000,0)),"")</f>
        <v/>
      </c>
      <c r="J6" s="57" t="inlineStr">
        <is>
          <t>Visite de suivi</t>
        </is>
      </c>
      <c r="K6" s="40" t="inlineStr">
        <is>
          <t>Visite de suivi avec Chloé Muller. Revue des commandes en cours et des prévisions du trimestre sur les étiquettes adhésives haute définition. Pas de difficulté particulière signalée. Chloé Muller évoque les étiquettes de la gamme export.</t>
        </is>
      </c>
      <c r="L6" s="57" t="inlineStr">
        <is>
          <t>Neutre</t>
        </is>
      </c>
      <c r="M6" s="57" t="n"/>
      <c r="N6" s="57" t="inlineStr">
        <is>
          <t>Relancer pour obtenir un retour</t>
        </is>
      </c>
      <c r="O6" s="58" t="n">
        <v>45699</v>
      </c>
      <c r="P6" s="60" t="n">
        <v>75</v>
      </c>
      <c r="Q6" s="57" t="n"/>
    </row>
    <row r="7" ht="23.85" customHeight="1" s="34">
      <c r="A7" s="57" t="inlineStr">
        <is>
          <t>A0006</t>
        </is>
      </c>
      <c r="B7" s="58" t="n">
        <v>45681</v>
      </c>
      <c r="C7" s="57" t="inlineStr">
        <is>
          <t>Visite terrain</t>
        </is>
      </c>
      <c r="D7" s="57" t="inlineStr">
        <is>
          <t>E028</t>
        </is>
      </c>
      <c r="E7" s="57">
        <f>IFERROR(INDEX(Entreprises!$B$2:$B$3000,MATCH(D7,Entreprises!$A$2:$A$3000,0)),"")</f>
        <v/>
      </c>
      <c r="F7" s="57" t="inlineStr">
        <is>
          <t>C047</t>
        </is>
      </c>
      <c r="G7" s="57">
        <f>IFERROR(INDEX(Contacts!$E$2:$E$3000,MATCH(F7,Contacts!$A$2:$A$3000,0)),"")</f>
        <v/>
      </c>
      <c r="H7" s="57" t="inlineStr">
        <is>
          <t>U007</t>
        </is>
      </c>
      <c r="I7" s="57">
        <f>IFERROR(INDEX(Commerciaux!$D$2:$D$3000,MATCH(H7,Commerciaux!$A$2:$A$3000,0)),"")</f>
        <v/>
      </c>
      <c r="J7" s="57" t="inlineStr">
        <is>
          <t>Présentation des nouveautés 2025</t>
        </is>
      </c>
      <c r="K7" s="40" t="inlineStr">
        <is>
          <t>Présentation des nouveautés 2025 à Chloé Muller, notamment les caisses carton ondulé personnalisées. Accueil favorable et demande d'échantillons.</t>
        </is>
      </c>
      <c r="L7" s="57" t="inlineStr">
        <is>
          <t>Positif</t>
        </is>
      </c>
      <c r="M7" s="57" t="n"/>
      <c r="N7" s="57" t="n"/>
      <c r="O7" s="58" t="n"/>
      <c r="P7" s="60" t="n">
        <v>90</v>
      </c>
      <c r="Q7" s="57" t="n"/>
    </row>
    <row r="8" ht="23.85" customHeight="1" s="34">
      <c r="A8" s="57" t="inlineStr">
        <is>
          <t>A0007</t>
        </is>
      </c>
      <c r="B8" s="58" t="n">
        <v>45688</v>
      </c>
      <c r="C8" s="57" t="inlineStr">
        <is>
          <t>E-mail</t>
        </is>
      </c>
      <c r="D8" s="57" t="inlineStr">
        <is>
          <t>E002</t>
        </is>
      </c>
      <c r="E8" s="57">
        <f>IFERROR(INDEX(Entreprises!$B$2:$B$3000,MATCH(D8,Entreprises!$A$2:$A$3000,0)),"")</f>
        <v/>
      </c>
      <c r="F8" s="57" t="inlineStr">
        <is>
          <t>C003</t>
        </is>
      </c>
      <c r="G8" s="57">
        <f>IFERROR(INDEX(Contacts!$E$2:$E$3000,MATCH(F8,Contacts!$A$2:$A$3000,0)),"")</f>
        <v/>
      </c>
      <c r="H8" s="57" t="inlineStr">
        <is>
          <t>U002</t>
        </is>
      </c>
      <c r="I8" s="57">
        <f>IFERROR(INDEX(Commerciaux!$D$2:$D$3000,MATCH(H8,Commerciaux!$A$2:$A$3000,0)),"")</f>
        <v/>
      </c>
      <c r="J8" s="57" t="inlineStr">
        <is>
          <t>Envoi de fiche technique</t>
        </is>
      </c>
      <c r="K8" s="40" t="inlineStr">
        <is>
          <t>Envoi à Aurélie Vasseur de la fiche technique et des certificats des étiquettes adhésives haute définition.</t>
        </is>
      </c>
      <c r="L8" s="57" t="inlineStr">
        <is>
          <t>Neutre</t>
        </is>
      </c>
      <c r="M8" s="57" t="n"/>
      <c r="N8" s="57" t="n"/>
      <c r="O8" s="58" t="n"/>
      <c r="P8" s="60" t="n"/>
      <c r="Q8" s="57" t="n"/>
    </row>
    <row r="9" ht="23.85" customHeight="1" s="34">
      <c r="A9" s="57" t="inlineStr">
        <is>
          <t>A0008</t>
        </is>
      </c>
      <c r="B9" s="58" t="n">
        <v>45693</v>
      </c>
      <c r="C9" s="57" t="inlineStr">
        <is>
          <t>Appel</t>
        </is>
      </c>
      <c r="D9" s="57" t="inlineStr">
        <is>
          <t>E018</t>
        </is>
      </c>
      <c r="E9" s="57">
        <f>IFERROR(INDEX(Entreprises!$B$2:$B$3000,MATCH(D9,Entreprises!$A$2:$A$3000,0)),"")</f>
        <v/>
      </c>
      <c r="F9" s="57" t="inlineStr">
        <is>
          <t>C029</t>
        </is>
      </c>
      <c r="G9" s="57">
        <f>IFERROR(INDEX(Contacts!$E$2:$E$3000,MATCH(F9,Contacts!$A$2:$A$3000,0)),"")</f>
        <v/>
      </c>
      <c r="H9" s="57" t="inlineStr">
        <is>
          <t>U005</t>
        </is>
      </c>
      <c r="I9" s="57">
        <f>IFERROR(INDEX(Commerciaux!$D$2:$D$3000,MATCH(H9,Commerciaux!$A$2:$A$3000,0)),"")</f>
        <v/>
      </c>
      <c r="J9" s="57" t="inlineStr">
        <is>
          <t>Ajustement de commande</t>
        </is>
      </c>
      <c r="K9" s="40" t="inlineStr">
        <is>
          <t>Appel de Guillaume Petit pour ajuster les quantités de la prochaine commande d'étuis spiritueux luxe. Modification prise en compte.</t>
        </is>
      </c>
      <c r="L9" s="57" t="inlineStr">
        <is>
          <t>À relancer</t>
        </is>
      </c>
      <c r="M9" s="57" t="n"/>
      <c r="N9" s="57" t="n"/>
      <c r="O9" s="58" t="n"/>
      <c r="P9" s="60" t="n">
        <v>20</v>
      </c>
      <c r="Q9" s="57" t="n"/>
    </row>
    <row r="10" ht="15" customHeight="1" s="34">
      <c r="A10" s="57" t="inlineStr">
        <is>
          <t>A0009</t>
        </is>
      </c>
      <c r="B10" s="58" t="n">
        <v>45695</v>
      </c>
      <c r="C10" s="57" t="inlineStr">
        <is>
          <t>Appel</t>
        </is>
      </c>
      <c r="D10" s="57" t="inlineStr">
        <is>
          <t>E002</t>
        </is>
      </c>
      <c r="E10" s="57">
        <f>IFERROR(INDEX(Entreprises!$B$2:$B$3000,MATCH(D10,Entreprises!$A$2:$A$3000,0)),"")</f>
        <v/>
      </c>
      <c r="F10" s="57" t="inlineStr">
        <is>
          <t>C003</t>
        </is>
      </c>
      <c r="G10" s="57">
        <f>IFERROR(INDEX(Contacts!$E$2:$E$3000,MATCH(F10,Contacts!$A$2:$A$3000,0)),"")</f>
        <v/>
      </c>
      <c r="H10" s="57" t="inlineStr">
        <is>
          <t>U002</t>
        </is>
      </c>
      <c r="I10" s="57">
        <f>IFERROR(INDEX(Commerciaux!$D$2:$D$3000,MATCH(H10,Commerciaux!$A$2:$A$3000,0)),"")</f>
        <v/>
      </c>
      <c r="J10" s="57" t="inlineStr">
        <is>
          <t>Suivi de livraison</t>
        </is>
      </c>
      <c r="K10" s="40" t="inlineStr">
        <is>
          <t>Appel de suivi après la dernière livraison. Aurélie Vasseur confirme la conformité des lots reçus.</t>
        </is>
      </c>
      <c r="L10" s="57" t="inlineStr">
        <is>
          <t>À relancer</t>
        </is>
      </c>
      <c r="M10" s="57" t="n"/>
      <c r="N10" s="57" t="inlineStr">
        <is>
          <t>Planifier une visite de site</t>
        </is>
      </c>
      <c r="O10" s="58" t="n">
        <v>45712</v>
      </c>
      <c r="P10" s="60" t="n">
        <v>30</v>
      </c>
      <c r="Q10" s="57" t="n"/>
    </row>
    <row r="11" ht="23.85" customHeight="1" s="34">
      <c r="A11" s="57" t="inlineStr">
        <is>
          <t>A0010</t>
        </is>
      </c>
      <c r="B11" s="58" t="n">
        <v>45698</v>
      </c>
      <c r="C11" s="57" t="inlineStr">
        <is>
          <t>Réunion visio</t>
        </is>
      </c>
      <c r="D11" s="57" t="inlineStr">
        <is>
          <t>E008</t>
        </is>
      </c>
      <c r="E11" s="57">
        <f>IFERROR(INDEX(Entreprises!$B$2:$B$3000,MATCH(D11,Entreprises!$A$2:$A$3000,0)),"")</f>
        <v/>
      </c>
      <c r="F11" s="57" t="inlineStr">
        <is>
          <t>C012</t>
        </is>
      </c>
      <c r="G11" s="57">
        <f>IFERROR(INDEX(Contacts!$E$2:$E$3000,MATCH(F11,Contacts!$A$2:$A$3000,0)),"")</f>
        <v/>
      </c>
      <c r="H11" s="57" t="inlineStr">
        <is>
          <t>U003</t>
        </is>
      </c>
      <c r="I11" s="57">
        <f>IFERROR(INDEX(Commerciaux!$D$2:$D$3000,MATCH(H11,Commerciaux!$A$2:$A$3000,0)),"")</f>
        <v/>
      </c>
      <c r="J11" s="57" t="inlineStr">
        <is>
          <t>Cadrage du besoin</t>
        </is>
      </c>
      <c r="K11" s="40" t="inlineStr">
        <is>
          <t>Réunion Teams avec Marie-Laure Rivière pour cadrer le besoin concernant la consultation sur les étuis allégés 2027. Liste des prérequis techniques partagée.</t>
        </is>
      </c>
      <c r="L11" s="57" t="inlineStr">
        <is>
          <t>Neutre</t>
        </is>
      </c>
      <c r="M11" s="57" t="n"/>
      <c r="N11" s="57" t="inlineStr">
        <is>
          <t>Planifier une visite de site</t>
        </is>
      </c>
      <c r="O11" s="58" t="n">
        <v>45712</v>
      </c>
      <c r="P11" s="60" t="n">
        <v>60</v>
      </c>
      <c r="Q11" s="57" t="n"/>
    </row>
    <row r="12" ht="23.85" customHeight="1" s="34">
      <c r="A12" s="57" t="inlineStr">
        <is>
          <t>A0011</t>
        </is>
      </c>
      <c r="B12" s="58" t="n">
        <v>45701</v>
      </c>
      <c r="C12" s="57" t="inlineStr">
        <is>
          <t>Note</t>
        </is>
      </c>
      <c r="D12" s="57" t="inlineStr">
        <is>
          <t>E013</t>
        </is>
      </c>
      <c r="E12" s="57">
        <f>IFERROR(INDEX(Entreprises!$B$2:$B$3000,MATCH(D12,Entreprises!$A$2:$A$3000,0)),"")</f>
        <v/>
      </c>
      <c r="F12" s="57" t="inlineStr">
        <is>
          <t>C022</t>
        </is>
      </c>
      <c r="G12" s="57">
        <f>IFERROR(INDEX(Contacts!$E$2:$E$3000,MATCH(F12,Contacts!$A$2:$A$3000,0)),"")</f>
        <v/>
      </c>
      <c r="H12" s="57" t="inlineStr">
        <is>
          <t>U004</t>
        </is>
      </c>
      <c r="I12" s="57">
        <f>IFERROR(INDEX(Commerciaux!$D$2:$D$3000,MATCH(H12,Commerciaux!$A$2:$A$3000,0)),"")</f>
        <v/>
      </c>
      <c r="J12" s="57" t="inlineStr">
        <is>
          <t>Préparation négociation</t>
        </is>
      </c>
      <c r="K12" s="40" t="inlineStr">
        <is>
          <t>Note interne : préparer un comparatif de prix face à Kartéa Pharma Pack avant la prochaine négociation.</t>
        </is>
      </c>
      <c r="L12" s="57" t="inlineStr">
        <is>
          <t>Neutre</t>
        </is>
      </c>
      <c r="M12" s="57" t="n"/>
      <c r="N12" s="57" t="n"/>
      <c r="O12" s="58" t="n"/>
      <c r="P12" s="60" t="n"/>
      <c r="Q12" s="57" t="n"/>
    </row>
    <row r="13" ht="15" customHeight="1" s="34">
      <c r="A13" s="57" t="inlineStr">
        <is>
          <t>A0012</t>
        </is>
      </c>
      <c r="B13" s="58" t="n">
        <v>45702</v>
      </c>
      <c r="C13" s="57" t="inlineStr">
        <is>
          <t>Appel</t>
        </is>
      </c>
      <c r="D13" s="57" t="inlineStr">
        <is>
          <t>E019</t>
        </is>
      </c>
      <c r="E13" s="57">
        <f>IFERROR(INDEX(Entreprises!$B$2:$B$3000,MATCH(D13,Entreprises!$A$2:$A$3000,0)),"")</f>
        <v/>
      </c>
      <c r="F13" s="57" t="inlineStr">
        <is>
          <t>C030</t>
        </is>
      </c>
      <c r="G13" s="57">
        <f>IFERROR(INDEX(Contacts!$E$2:$E$3000,MATCH(F13,Contacts!$A$2:$A$3000,0)),"")</f>
        <v/>
      </c>
      <c r="H13" s="57" t="inlineStr">
        <is>
          <t>U005</t>
        </is>
      </c>
      <c r="I13" s="57">
        <f>IFERROR(INDEX(Commerciaux!$D$2:$D$3000,MATCH(H13,Commerciaux!$A$2:$A$3000,0)),"")</f>
        <v/>
      </c>
      <c r="J13" s="57" t="inlineStr">
        <is>
          <t>Suivi de livraison</t>
        </is>
      </c>
      <c r="K13" s="40" t="inlineStr">
        <is>
          <t>Appel de suivi après la dernière livraison. Sandrine Delmas confirme la conformité des lots reçus.</t>
        </is>
      </c>
      <c r="L13" s="57" t="inlineStr">
        <is>
          <t>Neutre</t>
        </is>
      </c>
      <c r="M13" s="57" t="n"/>
      <c r="N13" s="57" t="inlineStr">
        <is>
          <t>Envoyer le devis</t>
        </is>
      </c>
      <c r="O13" s="58" t="n">
        <v>45723</v>
      </c>
      <c r="P13" s="60" t="n">
        <v>30</v>
      </c>
      <c r="Q13" s="57" t="n"/>
    </row>
    <row r="14" ht="15" customHeight="1" s="34">
      <c r="A14" s="57" t="inlineStr">
        <is>
          <t>A0013</t>
        </is>
      </c>
      <c r="B14" s="58" t="n">
        <v>45715</v>
      </c>
      <c r="C14" s="57" t="inlineStr">
        <is>
          <t>Appel</t>
        </is>
      </c>
      <c r="D14" s="57" t="inlineStr">
        <is>
          <t>E018</t>
        </is>
      </c>
      <c r="E14" s="57">
        <f>IFERROR(INDEX(Entreprises!$B$2:$B$3000,MATCH(D14,Entreprises!$A$2:$A$3000,0)),"")</f>
        <v/>
      </c>
      <c r="F14" s="57" t="inlineStr">
        <is>
          <t>C029</t>
        </is>
      </c>
      <c r="G14" s="57">
        <f>IFERROR(INDEX(Contacts!$E$2:$E$3000,MATCH(F14,Contacts!$A$2:$A$3000,0)),"")</f>
        <v/>
      </c>
      <c r="H14" s="57" t="inlineStr">
        <is>
          <t>U005</t>
        </is>
      </c>
      <c r="I14" s="57">
        <f>IFERROR(INDEX(Commerciaux!$D$2:$D$3000,MATCH(H14,Commerciaux!$A$2:$A$3000,0)),"")</f>
        <v/>
      </c>
      <c r="J14" s="57" t="inlineStr">
        <is>
          <t>Suivi de livraison</t>
        </is>
      </c>
      <c r="K14" s="40" t="inlineStr">
        <is>
          <t>Appel de suivi après la dernière livraison. Guillaume Petit confirme la conformité des lots reçus.</t>
        </is>
      </c>
      <c r="L14" s="57" t="inlineStr">
        <is>
          <t>Neutre</t>
        </is>
      </c>
      <c r="M14" s="57" t="n"/>
      <c r="N14" s="57" t="n"/>
      <c r="O14" s="58" t="n"/>
      <c r="P14" s="60" t="n">
        <v>30</v>
      </c>
      <c r="Q14" s="57" t="n"/>
    </row>
    <row r="15" ht="23.85" customHeight="1" s="34">
      <c r="A15" s="57" t="inlineStr">
        <is>
          <t>A0014</t>
        </is>
      </c>
      <c r="B15" s="58" t="n">
        <v>45716</v>
      </c>
      <c r="C15" s="57" t="inlineStr">
        <is>
          <t>Réunion visio</t>
        </is>
      </c>
      <c r="D15" s="57" t="inlineStr">
        <is>
          <t>E017</t>
        </is>
      </c>
      <c r="E15" s="57">
        <f>IFERROR(INDEX(Entreprises!$B$2:$B$3000,MATCH(D15,Entreprises!$A$2:$A$3000,0)),"")</f>
        <v/>
      </c>
      <c r="F15" s="57" t="inlineStr">
        <is>
          <t>C028</t>
        </is>
      </c>
      <c r="G15" s="57">
        <f>IFERROR(INDEX(Contacts!$E$2:$E$3000,MATCH(F15,Contacts!$A$2:$A$3000,0)),"")</f>
        <v/>
      </c>
      <c r="H15" s="57" t="inlineStr">
        <is>
          <t>U005</t>
        </is>
      </c>
      <c r="I15" s="57">
        <f>IFERROR(INDEX(Commerciaux!$D$2:$D$3000,MATCH(H15,Commerciaux!$A$2:$A$3000,0)),"")</f>
        <v/>
      </c>
      <c r="J15" s="57" t="inlineStr">
        <is>
          <t>Cadrage du besoin</t>
        </is>
      </c>
      <c r="K15" s="40" t="inlineStr">
        <is>
          <t>Réunion Teams avec Romain Arnaud pour cadrer le besoin concernant le coffret réutilisable de la gamme premium. Liste des prérequis techniques partagée.</t>
        </is>
      </c>
      <c r="L15" s="57" t="inlineStr">
        <is>
          <t>Positif</t>
        </is>
      </c>
      <c r="M15" s="57" t="n"/>
      <c r="N15" s="57" t="inlineStr">
        <is>
          <t>Transmettre des échantillons</t>
        </is>
      </c>
      <c r="O15" s="58" t="n">
        <v>45733</v>
      </c>
      <c r="P15" s="60" t="n">
        <v>45</v>
      </c>
      <c r="Q15" s="57" t="n"/>
    </row>
    <row r="16" ht="35.05" customHeight="1" s="34">
      <c r="A16" s="57" t="inlineStr">
        <is>
          <t>A0015</t>
        </is>
      </c>
      <c r="B16" s="58" t="n">
        <v>45719</v>
      </c>
      <c r="C16" s="57" t="inlineStr">
        <is>
          <t>Visite terrain</t>
        </is>
      </c>
      <c r="D16" s="57" t="inlineStr">
        <is>
          <t>E004</t>
        </is>
      </c>
      <c r="E16" s="57">
        <f>IFERROR(INDEX(Entreprises!$B$2:$B$3000,MATCH(D16,Entreprises!$A$2:$A$3000,0)),"")</f>
        <v/>
      </c>
      <c r="F16" s="57" t="inlineStr">
        <is>
          <t>C008</t>
        </is>
      </c>
      <c r="G16" s="57">
        <f>IFERROR(INDEX(Contacts!$E$2:$E$3000,MATCH(F16,Contacts!$A$2:$A$3000,0)),"")</f>
        <v/>
      </c>
      <c r="H16" s="57" t="inlineStr">
        <is>
          <t>U002</t>
        </is>
      </c>
      <c r="I16" s="57">
        <f>IFERROR(INDEX(Commerciaux!$D$2:$D$3000,MATCH(H16,Commerciaux!$A$2:$A$3000,0)),"")</f>
        <v/>
      </c>
      <c r="J16" s="57" t="inlineStr">
        <is>
          <t>Visite de suivi</t>
        </is>
      </c>
      <c r="K16" s="40" t="inlineStr">
        <is>
          <t>Visite de suivi avec Hugo Perrin. Revue des commandes en cours et des prévisions du trimestre sur les coffrets rigides premium. Pas de difficulté particulière signalée. Hugo Perrin évoque les coffrets des éditions limitées 2027.</t>
        </is>
      </c>
      <c r="L16" s="57" t="inlineStr">
        <is>
          <t>Neutre</t>
        </is>
      </c>
      <c r="M16" s="57" t="n"/>
      <c r="N16" s="57" t="inlineStr">
        <is>
          <t>Envoyer la documentation technique</t>
        </is>
      </c>
      <c r="O16" s="58" t="n">
        <v>45733</v>
      </c>
      <c r="P16" s="60" t="n">
        <v>75</v>
      </c>
      <c r="Q16" s="57" t="n"/>
    </row>
    <row r="17" ht="23.85" customHeight="1" s="34">
      <c r="A17" s="57" t="inlineStr">
        <is>
          <t>A0016</t>
        </is>
      </c>
      <c r="B17" s="58" t="n">
        <v>45719</v>
      </c>
      <c r="C17" s="57" t="inlineStr">
        <is>
          <t>Appel</t>
        </is>
      </c>
      <c r="D17" s="57" t="inlineStr">
        <is>
          <t>E004</t>
        </is>
      </c>
      <c r="E17" s="57">
        <f>IFERROR(INDEX(Entreprises!$B$2:$B$3000,MATCH(D17,Entreprises!$A$2:$A$3000,0)),"")</f>
        <v/>
      </c>
      <c r="F17" s="57" t="inlineStr">
        <is>
          <t>C008</t>
        </is>
      </c>
      <c r="G17" s="57">
        <f>IFERROR(INDEX(Contacts!$E$2:$E$3000,MATCH(F17,Contacts!$A$2:$A$3000,0)),"")</f>
        <v/>
      </c>
      <c r="H17" s="57" t="inlineStr">
        <is>
          <t>U002</t>
        </is>
      </c>
      <c r="I17" s="57">
        <f>IFERROR(INDEX(Commerciaux!$D$2:$D$3000,MATCH(H17,Commerciaux!$A$2:$A$3000,0)),"")</f>
        <v/>
      </c>
      <c r="J17" s="57" t="inlineStr">
        <is>
          <t>Relance proposition</t>
        </is>
      </c>
      <c r="K17" s="40" t="inlineStr">
        <is>
          <t>Appel de relance sur la dernière proposition. Hugo Perrin demande quelques jours pour consolider les retours internes.</t>
        </is>
      </c>
      <c r="L17" s="57" t="inlineStr">
        <is>
          <t>Neutre</t>
        </is>
      </c>
      <c r="M17" s="57" t="n"/>
      <c r="N17" s="57" t="n"/>
      <c r="O17" s="58" t="n"/>
      <c r="P17" s="60" t="n">
        <v>15</v>
      </c>
      <c r="Q17" s="57" t="n"/>
    </row>
    <row r="18" ht="35.05" customHeight="1" s="34">
      <c r="A18" s="57" t="inlineStr">
        <is>
          <t>A0017</t>
        </is>
      </c>
      <c r="B18" s="58" t="n">
        <v>45719</v>
      </c>
      <c r="C18" s="57" t="inlineStr">
        <is>
          <t>Visite terrain</t>
        </is>
      </c>
      <c r="D18" s="57" t="inlineStr">
        <is>
          <t>E008</t>
        </is>
      </c>
      <c r="E18" s="57">
        <f>IFERROR(INDEX(Entreprises!$B$2:$B$3000,MATCH(D18,Entreprises!$A$2:$A$3000,0)),"")</f>
        <v/>
      </c>
      <c r="F18" s="57" t="inlineStr">
        <is>
          <t>C012</t>
        </is>
      </c>
      <c r="G18" s="57">
        <f>IFERROR(INDEX(Contacts!$E$2:$E$3000,MATCH(F18,Contacts!$A$2:$A$3000,0)),"")</f>
        <v/>
      </c>
      <c r="H18" s="57" t="inlineStr">
        <is>
          <t>U003</t>
        </is>
      </c>
      <c r="I18" s="57">
        <f>IFERROR(INDEX(Commerciaux!$D$2:$D$3000,MATCH(H18,Commerciaux!$A$2:$A$3000,0)),"")</f>
        <v/>
      </c>
      <c r="J18" s="57" t="inlineStr">
        <is>
          <t>Visite de suivi</t>
        </is>
      </c>
      <c r="K18" s="40" t="inlineStr">
        <is>
          <t>Visite de suivi avec Marie-Laure Rivière. Revue des commandes en cours et des prévisions du trimestre sur les étuis spiritueux luxe. Pas de difficulté particulière signalée. Marie-Laure Rivière évoque la consultation sur les étuis allégés 2027.</t>
        </is>
      </c>
      <c r="L18" s="57" t="inlineStr">
        <is>
          <t>Positif</t>
        </is>
      </c>
      <c r="M18" s="57" t="n"/>
      <c r="N18" s="57" t="inlineStr">
        <is>
          <t>Relancer pour obtenir un retour</t>
        </is>
      </c>
      <c r="O18" s="58" t="n">
        <v>45736</v>
      </c>
      <c r="P18" s="60" t="n">
        <v>120</v>
      </c>
      <c r="Q18" s="57" t="n"/>
    </row>
    <row r="19" ht="23.85" customHeight="1" s="34">
      <c r="A19" s="57" t="inlineStr">
        <is>
          <t>A0018</t>
        </is>
      </c>
      <c r="B19" s="58" t="n">
        <v>45722</v>
      </c>
      <c r="C19" s="57" t="inlineStr">
        <is>
          <t>Visite terrain</t>
        </is>
      </c>
      <c r="D19" s="57" t="inlineStr">
        <is>
          <t>E011</t>
        </is>
      </c>
      <c r="E19" s="57">
        <f>IFERROR(INDEX(Entreprises!$B$2:$B$3000,MATCH(D19,Entreprises!$A$2:$A$3000,0)),"")</f>
        <v/>
      </c>
      <c r="F19" s="57" t="inlineStr">
        <is>
          <t>C017</t>
        </is>
      </c>
      <c r="G19" s="57">
        <f>IFERROR(INDEX(Contacts!$E$2:$E$3000,MATCH(F19,Contacts!$A$2:$A$3000,0)),"")</f>
        <v/>
      </c>
      <c r="H19" s="57" t="inlineStr">
        <is>
          <t>U003</t>
        </is>
      </c>
      <c r="I19" s="57">
        <f>IFERROR(INDEX(Commerciaux!$D$2:$D$3000,MATCH(H19,Commerciaux!$A$2:$A$3000,0)),"")</f>
        <v/>
      </c>
      <c r="J19" s="57" t="inlineStr">
        <is>
          <t>Présentation des nouveautés 2025</t>
        </is>
      </c>
      <c r="K19" s="40" t="inlineStr">
        <is>
          <t>Présentation des nouveautés 2025 à Stéphane Klein, notamment les caisses carton ondulé personnalisées. Accueil favorable et demande d'échantillons.</t>
        </is>
      </c>
      <c r="L19" s="57" t="inlineStr">
        <is>
          <t>Positif</t>
        </is>
      </c>
      <c r="M19" s="57" t="n"/>
      <c r="N19" s="57" t="inlineStr">
        <is>
          <t>Transmettre des échantillons</t>
        </is>
      </c>
      <c r="O19" s="58" t="n">
        <v>45733</v>
      </c>
      <c r="P19" s="60" t="n">
        <v>75</v>
      </c>
      <c r="Q19" s="57" t="n"/>
    </row>
    <row r="20" ht="23.85" customHeight="1" s="34">
      <c r="A20" s="57" t="inlineStr">
        <is>
          <t>A0019</t>
        </is>
      </c>
      <c r="B20" s="58" t="n">
        <v>45728</v>
      </c>
      <c r="C20" s="57" t="inlineStr">
        <is>
          <t>E-mail</t>
        </is>
      </c>
      <c r="D20" s="57" t="inlineStr">
        <is>
          <t>E019</t>
        </is>
      </c>
      <c r="E20" s="57">
        <f>IFERROR(INDEX(Entreprises!$B$2:$B$3000,MATCH(D20,Entreprises!$A$2:$A$3000,0)),"")</f>
        <v/>
      </c>
      <c r="F20" s="57" t="inlineStr">
        <is>
          <t>C031</t>
        </is>
      </c>
      <c r="G20" s="57">
        <f>IFERROR(INDEX(Contacts!$E$2:$E$3000,MATCH(F20,Contacts!$A$2:$A$3000,0)),"")</f>
        <v/>
      </c>
      <c r="H20" s="57" t="inlineStr">
        <is>
          <t>U005</t>
        </is>
      </c>
      <c r="I20" s="57">
        <f>IFERROR(INDEX(Commerciaux!$D$2:$D$3000,MATCH(H20,Commerciaux!$A$2:$A$3000,0)),"")</f>
        <v/>
      </c>
      <c r="J20" s="57" t="inlineStr">
        <is>
          <t>Envoi de la grille tarifaire</t>
        </is>
      </c>
      <c r="K20" s="40" t="inlineStr">
        <is>
          <t>Envoi à Benoît Carrière de la grille tarifaire actualisée, avec rappel des conditions de paiement (60 jours).</t>
        </is>
      </c>
      <c r="L20" s="57" t="inlineStr">
        <is>
          <t>Neutre</t>
        </is>
      </c>
      <c r="M20" s="57" t="n"/>
      <c r="N20" s="57" t="n"/>
      <c r="O20" s="58" t="n"/>
      <c r="P20" s="60" t="n"/>
      <c r="Q20" s="57" t="n"/>
    </row>
    <row r="21" ht="23.85" customHeight="1" s="34">
      <c r="A21" s="57" t="inlineStr">
        <is>
          <t>A0020</t>
        </is>
      </c>
      <c r="B21" s="58" t="n">
        <v>45730</v>
      </c>
      <c r="C21" s="57" t="inlineStr">
        <is>
          <t>Appel</t>
        </is>
      </c>
      <c r="D21" s="57" t="inlineStr">
        <is>
          <t>E008</t>
        </is>
      </c>
      <c r="E21" s="57">
        <f>IFERROR(INDEX(Entreprises!$B$2:$B$3000,MATCH(D21,Entreprises!$A$2:$A$3000,0)),"")</f>
        <v/>
      </c>
      <c r="F21" s="57" t="inlineStr">
        <is>
          <t>C013</t>
        </is>
      </c>
      <c r="G21" s="57">
        <f>IFERROR(INDEX(Contacts!$E$2:$E$3000,MATCH(F21,Contacts!$A$2:$A$3000,0)),"")</f>
        <v/>
      </c>
      <c r="H21" s="57" t="inlineStr">
        <is>
          <t>U003</t>
        </is>
      </c>
      <c r="I21" s="57">
        <f>IFERROR(INDEX(Commerciaux!$D$2:$D$3000,MATCH(H21,Commerciaux!$A$2:$A$3000,0)),"")</f>
        <v/>
      </c>
      <c r="J21" s="57" t="inlineStr">
        <is>
          <t>Relance proposition</t>
        </is>
      </c>
      <c r="K21" s="40" t="inlineStr">
        <is>
          <t>Appel de relance sur la dernière proposition. Bastien Collet demande quelques jours pour consolider les retours internes.</t>
        </is>
      </c>
      <c r="L21" s="57" t="inlineStr">
        <is>
          <t>Neutre</t>
        </is>
      </c>
      <c r="M21" s="57" t="n"/>
      <c r="N21" s="57" t="inlineStr">
        <is>
          <t>Envoyer la documentation technique</t>
        </is>
      </c>
      <c r="O21" s="58" t="n">
        <v>45747</v>
      </c>
      <c r="P21" s="60" t="n">
        <v>20</v>
      </c>
      <c r="Q21" s="57" t="n"/>
    </row>
    <row r="22" ht="23.85" customHeight="1" s="34">
      <c r="A22" s="57" t="inlineStr">
        <is>
          <t>A0021</t>
        </is>
      </c>
      <c r="B22" s="58" t="n">
        <v>45730</v>
      </c>
      <c r="C22" s="57" t="inlineStr">
        <is>
          <t>Appel</t>
        </is>
      </c>
      <c r="D22" s="57" t="inlineStr">
        <is>
          <t>E025</t>
        </is>
      </c>
      <c r="E22" s="57">
        <f>IFERROR(INDEX(Entreprises!$B$2:$B$3000,MATCH(D22,Entreprises!$A$2:$A$3000,0)),"")</f>
        <v/>
      </c>
      <c r="F22" s="57" t="inlineStr">
        <is>
          <t>C041</t>
        </is>
      </c>
      <c r="G22" s="57">
        <f>IFERROR(INDEX(Contacts!$E$2:$E$3000,MATCH(F22,Contacts!$A$2:$A$3000,0)),"")</f>
        <v/>
      </c>
      <c r="H22" s="57" t="inlineStr">
        <is>
          <t>U007</t>
        </is>
      </c>
      <c r="I22" s="57">
        <f>IFERROR(INDEX(Commerciaux!$D$2:$D$3000,MATCH(H22,Commerciaux!$A$2:$A$3000,0)),"")</f>
        <v/>
      </c>
      <c r="J22" s="57" t="inlineStr">
        <is>
          <t>Relance proposition</t>
        </is>
      </c>
      <c r="K22" s="40" t="inlineStr">
        <is>
          <t>Appel de relance sur la dernière proposition. Manon Leclerc demande quelques jours pour consolider les retours internes.</t>
        </is>
      </c>
      <c r="L22" s="57" t="inlineStr">
        <is>
          <t>À relancer</t>
        </is>
      </c>
      <c r="M22" s="57" t="n"/>
      <c r="N22" s="57" t="inlineStr">
        <is>
          <t>Planifier une visite de site</t>
        </is>
      </c>
      <c r="O22" s="58" t="n">
        <v>45740</v>
      </c>
      <c r="P22" s="60" t="n">
        <v>10</v>
      </c>
      <c r="Q22" s="57" t="n"/>
    </row>
    <row r="23" ht="15" customHeight="1" s="34">
      <c r="A23" s="57" t="inlineStr">
        <is>
          <t>A0022</t>
        </is>
      </c>
      <c r="B23" s="58" t="n">
        <v>45740</v>
      </c>
      <c r="C23" s="57" t="inlineStr">
        <is>
          <t>E-mail</t>
        </is>
      </c>
      <c r="D23" s="57" t="inlineStr">
        <is>
          <t>E022</t>
        </is>
      </c>
      <c r="E23" s="57">
        <f>IFERROR(INDEX(Entreprises!$B$2:$B$3000,MATCH(D23,Entreprises!$A$2:$A$3000,0)),"")</f>
        <v/>
      </c>
      <c r="F23" s="57" t="inlineStr">
        <is>
          <t>C036</t>
        </is>
      </c>
      <c r="G23" s="57">
        <f>IFERROR(INDEX(Contacts!$E$2:$E$3000,MATCH(F23,Contacts!$A$2:$A$3000,0)),"")</f>
        <v/>
      </c>
      <c r="H23" s="57" t="inlineStr">
        <is>
          <t>U006</t>
        </is>
      </c>
      <c r="I23" s="57">
        <f>IFERROR(INDEX(Commerciaux!$D$2:$D$3000,MATCH(H23,Commerciaux!$A$2:$A$3000,0)),"")</f>
        <v/>
      </c>
      <c r="J23" s="57" t="inlineStr">
        <is>
          <t>Envoi de fiche technique</t>
        </is>
      </c>
      <c r="K23" s="40" t="inlineStr">
        <is>
          <t>Envoi à Patrick Renaud de la fiche technique et des certificats des notices pharmaceutiques pliées.</t>
        </is>
      </c>
      <c r="L23" s="57" t="inlineStr">
        <is>
          <t>Neutre</t>
        </is>
      </c>
      <c r="M23" s="57" t="n"/>
      <c r="N23" s="57" t="n"/>
      <c r="O23" s="58" t="n"/>
      <c r="P23" s="60" t="n"/>
      <c r="Q23" s="57" t="n"/>
    </row>
    <row r="24" ht="23.85" customHeight="1" s="34">
      <c r="A24" s="57" t="inlineStr">
        <is>
          <t>A0023</t>
        </is>
      </c>
      <c r="B24" s="58" t="n">
        <v>45742</v>
      </c>
      <c r="C24" s="57" t="inlineStr">
        <is>
          <t>Note</t>
        </is>
      </c>
      <c r="D24" s="57" t="inlineStr">
        <is>
          <t>E023</t>
        </is>
      </c>
      <c r="E24" s="57">
        <f>IFERROR(INDEX(Entreprises!$B$2:$B$3000,MATCH(D24,Entreprises!$A$2:$A$3000,0)),"")</f>
        <v/>
      </c>
      <c r="F24" s="57" t="inlineStr">
        <is>
          <t>C038</t>
        </is>
      </c>
      <c r="G24" s="57">
        <f>IFERROR(INDEX(Contacts!$E$2:$E$3000,MATCH(F24,Contacts!$A$2:$A$3000,0)),"")</f>
        <v/>
      </c>
      <c r="H24" s="57" t="inlineStr">
        <is>
          <t>U006</t>
        </is>
      </c>
      <c r="I24" s="57">
        <f>IFERROR(INDEX(Commerciaux!$D$2:$D$3000,MATCH(H24,Commerciaux!$A$2:$A$3000,0)),"")</f>
        <v/>
      </c>
      <c r="J24" s="57" t="inlineStr">
        <is>
          <t>Préparation négociation</t>
        </is>
      </c>
      <c r="K24" s="40" t="inlineStr">
        <is>
          <t>Note interne : préparer un comparatif de prix face à Kartéa Pharma Pack avant la prochaine négociation.</t>
        </is>
      </c>
      <c r="L24" s="57" t="inlineStr">
        <is>
          <t>Neutre</t>
        </is>
      </c>
      <c r="M24" s="57" t="n"/>
      <c r="N24" s="57" t="n"/>
      <c r="O24" s="58" t="n"/>
      <c r="P24" s="60" t="n"/>
      <c r="Q24" s="57" t="n"/>
    </row>
    <row r="25" ht="15" customHeight="1" s="34">
      <c r="A25" s="57" t="inlineStr">
        <is>
          <t>A0024</t>
        </is>
      </c>
      <c r="B25" s="58" t="n">
        <v>45742</v>
      </c>
      <c r="C25" s="57" t="inlineStr">
        <is>
          <t>Note</t>
        </is>
      </c>
      <c r="D25" s="57" t="inlineStr">
        <is>
          <t>E025</t>
        </is>
      </c>
      <c r="E25" s="57">
        <f>IFERROR(INDEX(Entreprises!$B$2:$B$3000,MATCH(D25,Entreprises!$A$2:$A$3000,0)),"")</f>
        <v/>
      </c>
      <c r="F25" s="57" t="inlineStr">
        <is>
          <t>C041</t>
        </is>
      </c>
      <c r="G25" s="57">
        <f>IFERROR(INDEX(Contacts!$E$2:$E$3000,MATCH(F25,Contacts!$A$2:$A$3000,0)),"")</f>
        <v/>
      </c>
      <c r="H25" s="57" t="inlineStr">
        <is>
          <t>U007</t>
        </is>
      </c>
      <c r="I25" s="57">
        <f>IFERROR(INDEX(Commerciaux!$D$2:$D$3000,MATCH(H25,Commerciaux!$A$2:$A$3000,0)),"")</f>
        <v/>
      </c>
      <c r="J25" s="57" t="inlineStr">
        <is>
          <t>Préparation négociation</t>
        </is>
      </c>
      <c r="K25" s="40" t="inlineStr">
        <is>
          <t>Note interne : préparer un comparatif de prix face à Kartéa Luxe avant la prochaine négociation.</t>
        </is>
      </c>
      <c r="L25" s="57" t="inlineStr">
        <is>
          <t>Neutre</t>
        </is>
      </c>
      <c r="M25" s="57" t="n"/>
      <c r="N25" s="57" t="n"/>
      <c r="O25" s="58" t="n"/>
      <c r="P25" s="60" t="n"/>
      <c r="Q25" s="57" t="n"/>
    </row>
    <row r="26" ht="15" customHeight="1" s="34">
      <c r="A26" s="57" t="inlineStr">
        <is>
          <t>A0025</t>
        </is>
      </c>
      <c r="B26" s="58" t="n">
        <v>45743</v>
      </c>
      <c r="C26" s="57" t="inlineStr">
        <is>
          <t>Réunion visio</t>
        </is>
      </c>
      <c r="D26" s="57" t="inlineStr">
        <is>
          <t>E023</t>
        </is>
      </c>
      <c r="E26" s="57">
        <f>IFERROR(INDEX(Entreprises!$B$2:$B$3000,MATCH(D26,Entreprises!$A$2:$A$3000,0)),"")</f>
        <v/>
      </c>
      <c r="F26" s="57" t="inlineStr">
        <is>
          <t>C037</t>
        </is>
      </c>
      <c r="G26" s="57">
        <f>IFERROR(INDEX(Contacts!$E$2:$E$3000,MATCH(F26,Contacts!$A$2:$A$3000,0)),"")</f>
        <v/>
      </c>
      <c r="H26" s="57" t="inlineStr">
        <is>
          <t>U006</t>
        </is>
      </c>
      <c r="I26" s="57">
        <f>IFERROR(INDEX(Commerciaux!$D$2:$D$3000,MATCH(H26,Commerciaux!$A$2:$A$3000,0)),"")</f>
        <v/>
      </c>
      <c r="J26" s="57" t="inlineStr">
        <is>
          <t>Revue des prévisions</t>
        </is>
      </c>
      <c r="K26" s="40" t="inlineStr">
        <is>
          <t>Visio de revue des prévisions de volumes avec Caroline Lefèvre et la supply chain du client.</t>
        </is>
      </c>
      <c r="L26" s="57" t="inlineStr">
        <is>
          <t>Neutre</t>
        </is>
      </c>
      <c r="M26" s="57" t="n"/>
      <c r="N26" s="57" t="n"/>
      <c r="O26" s="58" t="n"/>
      <c r="P26" s="60" t="n">
        <v>45</v>
      </c>
      <c r="Q26" s="57" t="n"/>
    </row>
    <row r="27" ht="35.05" customHeight="1" s="34">
      <c r="A27" s="57" t="inlineStr">
        <is>
          <t>A0026</t>
        </is>
      </c>
      <c r="B27" s="58" t="n">
        <v>45751</v>
      </c>
      <c r="C27" s="57" t="inlineStr">
        <is>
          <t>Visite terrain</t>
        </is>
      </c>
      <c r="D27" s="57" t="inlineStr">
        <is>
          <t>E025</t>
        </is>
      </c>
      <c r="E27" s="57">
        <f>IFERROR(INDEX(Entreprises!$B$2:$B$3000,MATCH(D27,Entreprises!$A$2:$A$3000,0)),"")</f>
        <v/>
      </c>
      <c r="F27" s="57" t="inlineStr">
        <is>
          <t>C041</t>
        </is>
      </c>
      <c r="G27" s="57">
        <f>IFERROR(INDEX(Contacts!$E$2:$E$3000,MATCH(F27,Contacts!$A$2:$A$3000,0)),"")</f>
        <v/>
      </c>
      <c r="H27" s="57" t="inlineStr">
        <is>
          <t>U007</t>
        </is>
      </c>
      <c r="I27" s="57">
        <f>IFERROR(INDEX(Commerciaux!$D$2:$D$3000,MATCH(H27,Commerciaux!$A$2:$A$3000,0)),"")</f>
        <v/>
      </c>
      <c r="J27" s="57" t="inlineStr">
        <is>
          <t>Visite de la ligne de conditionnement</t>
        </is>
      </c>
      <c r="K27" s="40" t="inlineStr">
        <is>
          <t>Visite du site avec Manon Leclerc et l'équipe de production. Observation de la ligne de conditionnement ; points d'amélioration identifiés sur les changements de format. Intérêt exprimé pour le programme d'éco-conception des coffrets.</t>
        </is>
      </c>
      <c r="L27" s="57" t="inlineStr">
        <is>
          <t>Neutre</t>
        </is>
      </c>
      <c r="M27" s="57" t="n"/>
      <c r="N27" s="57" t="n"/>
      <c r="O27" s="58" t="n"/>
      <c r="P27" s="60" t="n">
        <v>90</v>
      </c>
      <c r="Q27" s="57" t="n"/>
    </row>
    <row r="28" ht="23.85" customHeight="1" s="34">
      <c r="A28" s="57" t="inlineStr">
        <is>
          <t>A0027</t>
        </is>
      </c>
      <c r="B28" s="58" t="n">
        <v>45751</v>
      </c>
      <c r="C28" s="57" t="inlineStr">
        <is>
          <t>E-mail</t>
        </is>
      </c>
      <c r="D28" s="57" t="inlineStr">
        <is>
          <t>E027</t>
        </is>
      </c>
      <c r="E28" s="57">
        <f>IFERROR(INDEX(Entreprises!$B$2:$B$3000,MATCH(D28,Entreprises!$A$2:$A$3000,0)),"")</f>
        <v/>
      </c>
      <c r="F28" s="57" t="inlineStr">
        <is>
          <t>C045</t>
        </is>
      </c>
      <c r="G28" s="57">
        <f>IFERROR(INDEX(Contacts!$E$2:$E$3000,MATCH(F28,Contacts!$A$2:$A$3000,0)),"")</f>
        <v/>
      </c>
      <c r="H28" s="57" t="inlineStr">
        <is>
          <t>U007</t>
        </is>
      </c>
      <c r="I28" s="57">
        <f>IFERROR(INDEX(Commerciaux!$D$2:$D$3000,MATCH(H28,Commerciaux!$A$2:$A$3000,0)),"")</f>
        <v/>
      </c>
      <c r="J28" s="57" t="inlineStr">
        <is>
          <t>Envoi du planning</t>
        </is>
      </c>
      <c r="K28" s="40" t="inlineStr">
        <is>
          <t>Envoi à Alexandre Colin du planning prévisionnel et des points ouverts concernant les coffrets de fêtes 2027.</t>
        </is>
      </c>
      <c r="L28" s="57" t="inlineStr">
        <is>
          <t>Neutre</t>
        </is>
      </c>
      <c r="M28" s="57" t="n"/>
      <c r="N28" s="57" t="n"/>
      <c r="O28" s="58" t="n"/>
      <c r="P28" s="60" t="n"/>
      <c r="Q28" s="57" t="n"/>
    </row>
    <row r="29" ht="35.05" customHeight="1" s="34">
      <c r="A29" s="57" t="inlineStr">
        <is>
          <t>A0028</t>
        </is>
      </c>
      <c r="B29" s="58" t="n">
        <v>45751</v>
      </c>
      <c r="C29" s="57" t="inlineStr">
        <is>
          <t>Visite terrain</t>
        </is>
      </c>
      <c r="D29" s="57" t="inlineStr">
        <is>
          <t>E030</t>
        </is>
      </c>
      <c r="E29" s="57">
        <f>IFERROR(INDEX(Entreprises!$B$2:$B$3000,MATCH(D29,Entreprises!$A$2:$A$3000,0)),"")</f>
        <v/>
      </c>
      <c r="F29" s="57" t="inlineStr">
        <is>
          <t>C050</t>
        </is>
      </c>
      <c r="G29" s="57">
        <f>IFERROR(INDEX(Contacts!$E$2:$E$3000,MATCH(F29,Contacts!$A$2:$A$3000,0)),"")</f>
        <v/>
      </c>
      <c r="H29" s="57" t="inlineStr">
        <is>
          <t>U007</t>
        </is>
      </c>
      <c r="I29" s="57">
        <f>IFERROR(INDEX(Commerciaux!$D$2:$D$3000,MATCH(H29,Commerciaux!$A$2:$A$3000,0)),"")</f>
        <v/>
      </c>
      <c r="J29" s="57" t="inlineStr">
        <is>
          <t>Visite de la ligne de conditionnement</t>
        </is>
      </c>
      <c r="K29" s="40" t="inlineStr">
        <is>
          <t>Visite du site avec Pierre-Yves Guérin et l'équipe de production. Observation de la ligne de conditionnement ; points d'amélioration identifiés sur les changements de format. Intérêt exprimé pour les emballages sans plastique de la distribution électrique.</t>
        </is>
      </c>
      <c r="L29" s="57" t="inlineStr">
        <is>
          <t>Positif</t>
        </is>
      </c>
      <c r="M29" s="57" t="n"/>
      <c r="N29" s="57" t="inlineStr">
        <is>
          <t>Envoyer la documentation technique</t>
        </is>
      </c>
      <c r="O29" s="58" t="n">
        <v>45761</v>
      </c>
      <c r="P29" s="60" t="n">
        <v>90</v>
      </c>
      <c r="Q29" s="57" t="n"/>
    </row>
    <row r="30" ht="23.85" customHeight="1" s="34">
      <c r="A30" s="57" t="inlineStr">
        <is>
          <t>A0029</t>
        </is>
      </c>
      <c r="B30" s="58" t="n">
        <v>45756</v>
      </c>
      <c r="C30" s="57" t="inlineStr">
        <is>
          <t>E-mail</t>
        </is>
      </c>
      <c r="D30" s="57" t="inlineStr">
        <is>
          <t>E001</t>
        </is>
      </c>
      <c r="E30" s="57">
        <f>IFERROR(INDEX(Entreprises!$B$2:$B$3000,MATCH(D30,Entreprises!$A$2:$A$3000,0)),"")</f>
        <v/>
      </c>
      <c r="F30" s="57" t="inlineStr">
        <is>
          <t>C001</t>
        </is>
      </c>
      <c r="G30" s="57">
        <f>IFERROR(INDEX(Contacts!$E$2:$E$3000,MATCH(F30,Contacts!$A$2:$A$3000,0)),"")</f>
        <v/>
      </c>
      <c r="H30" s="57" t="inlineStr">
        <is>
          <t>U002</t>
        </is>
      </c>
      <c r="I30" s="57">
        <f>IFERROR(INDEX(Commerciaux!$D$2:$D$3000,MATCH(H30,Commerciaux!$A$2:$A$3000,0)),"")</f>
        <v/>
      </c>
      <c r="J30" s="57" t="inlineStr">
        <is>
          <t>Demande de devis</t>
        </is>
      </c>
      <c r="K30" s="40" t="inlineStr">
        <is>
          <t>Nathalie Dubreuil demande un devis complémentaire pour une série courte de caisses carton ondulé personnalisées.</t>
        </is>
      </c>
      <c r="L30" s="57" t="inlineStr">
        <is>
          <t>Neutre</t>
        </is>
      </c>
      <c r="M30" s="57" t="n"/>
      <c r="N30" s="57" t="n"/>
      <c r="O30" s="58" t="n"/>
      <c r="P30" s="60" t="n"/>
      <c r="Q30" s="57" t="n"/>
    </row>
    <row r="31" ht="23.85" customHeight="1" s="34">
      <c r="A31" s="57" t="inlineStr">
        <is>
          <t>A0030</t>
        </is>
      </c>
      <c r="B31" s="58" t="n">
        <v>45758</v>
      </c>
      <c r="C31" s="57" t="inlineStr">
        <is>
          <t>Visite terrain</t>
        </is>
      </c>
      <c r="D31" s="57" t="inlineStr">
        <is>
          <t>E021</t>
        </is>
      </c>
      <c r="E31" s="57">
        <f>IFERROR(INDEX(Entreprises!$B$2:$B$3000,MATCH(D31,Entreprises!$A$2:$A$3000,0)),"")</f>
        <v/>
      </c>
      <c r="F31" s="57" t="inlineStr">
        <is>
          <t>C033</t>
        </is>
      </c>
      <c r="G31" s="57">
        <f>IFERROR(INDEX(Contacts!$E$2:$E$3000,MATCH(F31,Contacts!$A$2:$A$3000,0)),"")</f>
        <v/>
      </c>
      <c r="H31" s="57" t="inlineStr">
        <is>
          <t>U005</t>
        </is>
      </c>
      <c r="I31" s="57">
        <f>IFERROR(INDEX(Commerciaux!$D$2:$D$3000,MATCH(H31,Commerciaux!$A$2:$A$3000,0)),"")</f>
        <v/>
      </c>
      <c r="J31" s="57" t="inlineStr">
        <is>
          <t>Présentation des nouveautés 2025</t>
        </is>
      </c>
      <c r="K31" s="40" t="inlineStr">
        <is>
          <t>Présentation des nouveautés 2025 à Valérie Dumas, notamment les caisses carton ondulé personnalisées. Accueil favorable et demande d'échantillons.</t>
        </is>
      </c>
      <c r="L31" s="57" t="inlineStr">
        <is>
          <t>Négatif</t>
        </is>
      </c>
      <c r="M31" s="57" t="n"/>
      <c r="N31" s="57" t="inlineStr">
        <is>
          <t>Planifier une visite de site</t>
        </is>
      </c>
      <c r="O31" s="58" t="n">
        <v>45775</v>
      </c>
      <c r="P31" s="60" t="n">
        <v>90</v>
      </c>
      <c r="Q31" s="57" t="n"/>
    </row>
    <row r="32" ht="15" customHeight="1" s="34">
      <c r="A32" s="57" t="inlineStr">
        <is>
          <t>A0031</t>
        </is>
      </c>
      <c r="B32" s="58" t="n">
        <v>45758</v>
      </c>
      <c r="C32" s="57" t="inlineStr">
        <is>
          <t>Réunion visio</t>
        </is>
      </c>
      <c r="D32" s="57" t="inlineStr">
        <is>
          <t>E025</t>
        </is>
      </c>
      <c r="E32" s="57">
        <f>IFERROR(INDEX(Entreprises!$B$2:$B$3000,MATCH(D32,Entreprises!$A$2:$A$3000,0)),"")</f>
        <v/>
      </c>
      <c r="F32" s="57" t="inlineStr">
        <is>
          <t>C041</t>
        </is>
      </c>
      <c r="G32" s="57">
        <f>IFERROR(INDEX(Contacts!$E$2:$E$3000,MATCH(F32,Contacts!$A$2:$A$3000,0)),"")</f>
        <v/>
      </c>
      <c r="H32" s="57" t="inlineStr">
        <is>
          <t>U007</t>
        </is>
      </c>
      <c r="I32" s="57">
        <f>IFERROR(INDEX(Commerciaux!$D$2:$D$3000,MATCH(H32,Commerciaux!$A$2:$A$3000,0)),"")</f>
        <v/>
      </c>
      <c r="J32" s="57" t="inlineStr">
        <is>
          <t>Revue des prévisions</t>
        </is>
      </c>
      <c r="K32" s="40" t="inlineStr">
        <is>
          <t>Visio de revue des prévisions de volumes avec Manon Leclerc et la supply chain du client.</t>
        </is>
      </c>
      <c r="L32" s="57" t="inlineStr">
        <is>
          <t>Positif</t>
        </is>
      </c>
      <c r="M32" s="57" t="n"/>
      <c r="N32" s="57" t="inlineStr">
        <is>
          <t>Envoyer le devis</t>
        </is>
      </c>
      <c r="O32" s="58" t="n">
        <v>45778</v>
      </c>
      <c r="P32" s="60" t="n">
        <v>45</v>
      </c>
      <c r="Q32" s="57" t="n"/>
    </row>
    <row r="33" ht="35.05" customHeight="1" s="34">
      <c r="A33" s="57" t="inlineStr">
        <is>
          <t>A0032</t>
        </is>
      </c>
      <c r="B33" s="58" t="n">
        <v>45761</v>
      </c>
      <c r="C33" s="57" t="inlineStr">
        <is>
          <t>Visite terrain</t>
        </is>
      </c>
      <c r="D33" s="57" t="inlineStr">
        <is>
          <t>E003</t>
        </is>
      </c>
      <c r="E33" s="57">
        <f>IFERROR(INDEX(Entreprises!$B$2:$B$3000,MATCH(D33,Entreprises!$A$2:$A$3000,0)),"")</f>
        <v/>
      </c>
      <c r="F33" s="57" t="inlineStr">
        <is>
          <t>C006</t>
        </is>
      </c>
      <c r="G33" s="57">
        <f>IFERROR(INDEX(Contacts!$E$2:$E$3000,MATCH(F33,Contacts!$A$2:$A$3000,0)),"")</f>
        <v/>
      </c>
      <c r="H33" s="57" t="inlineStr">
        <is>
          <t>U002</t>
        </is>
      </c>
      <c r="I33" s="57">
        <f>IFERROR(INDEX(Commerciaux!$D$2:$D$3000,MATCH(H33,Commerciaux!$A$2:$A$3000,0)),"")</f>
        <v/>
      </c>
      <c r="J33" s="57" t="inlineStr">
        <is>
          <t>Visite de la ligne de conditionnement</t>
        </is>
      </c>
      <c r="K33" s="40" t="inlineStr">
        <is>
          <t>Visite du site avec Olivier Chen et l'équipe de production. Observation de la ligne de conditionnement ; points d'amélioration identifiés sur les changements de format. Intérêt exprimé pour la refonte des notices multilingues.</t>
        </is>
      </c>
      <c r="L33" s="57" t="inlineStr">
        <is>
          <t>À relancer</t>
        </is>
      </c>
      <c r="M33" s="57" t="n"/>
      <c r="N33" s="57" t="inlineStr">
        <is>
          <t>Envoyer la documentation technique</t>
        </is>
      </c>
      <c r="O33" s="58" t="n">
        <v>45770</v>
      </c>
      <c r="P33" s="60" t="n">
        <v>90</v>
      </c>
      <c r="Q33" s="57" t="n"/>
    </row>
    <row r="34" ht="15" customHeight="1" s="34">
      <c r="A34" s="57" t="inlineStr">
        <is>
          <t>A0033</t>
        </is>
      </c>
      <c r="B34" s="58" t="n">
        <v>45762</v>
      </c>
      <c r="C34" s="57" t="inlineStr">
        <is>
          <t>Appel</t>
        </is>
      </c>
      <c r="D34" s="57" t="inlineStr">
        <is>
          <t>E012</t>
        </is>
      </c>
      <c r="E34" s="57">
        <f>IFERROR(INDEX(Entreprises!$B$2:$B$3000,MATCH(D34,Entreprises!$A$2:$A$3000,0)),"")</f>
        <v/>
      </c>
      <c r="F34" s="57" t="inlineStr">
        <is>
          <t>C020</t>
        </is>
      </c>
      <c r="G34" s="57">
        <f>IFERROR(INDEX(Contacts!$E$2:$E$3000,MATCH(F34,Contacts!$A$2:$A$3000,0)),"")</f>
        <v/>
      </c>
      <c r="H34" s="57" t="inlineStr">
        <is>
          <t>U004</t>
        </is>
      </c>
      <c r="I34" s="57">
        <f>IFERROR(INDEX(Commerciaux!$D$2:$D$3000,MATCH(H34,Commerciaux!$A$2:$A$3000,0)),"")</f>
        <v/>
      </c>
      <c r="J34" s="57" t="inlineStr">
        <is>
          <t>Suivi de livraison</t>
        </is>
      </c>
      <c r="K34" s="40" t="inlineStr">
        <is>
          <t>Appel de suivi après la dernière livraison. Mathieu Faure confirme la conformité des lots reçus.</t>
        </is>
      </c>
      <c r="L34" s="57" t="inlineStr">
        <is>
          <t>À relancer</t>
        </is>
      </c>
      <c r="M34" s="57" t="n"/>
      <c r="N34" s="57" t="inlineStr">
        <is>
          <t>Envoyer la documentation technique</t>
        </is>
      </c>
      <c r="O34" s="58" t="n">
        <v>45779</v>
      </c>
      <c r="P34" s="60" t="n">
        <v>20</v>
      </c>
      <c r="Q34" s="57" t="n"/>
    </row>
    <row r="35" ht="23.85" customHeight="1" s="34">
      <c r="A35" s="57" t="inlineStr">
        <is>
          <t>A0034</t>
        </is>
      </c>
      <c r="B35" s="58" t="n">
        <v>45764</v>
      </c>
      <c r="C35" s="57" t="inlineStr">
        <is>
          <t>Visite terrain</t>
        </is>
      </c>
      <c r="D35" s="57" t="inlineStr">
        <is>
          <t>E014</t>
        </is>
      </c>
      <c r="E35" s="57">
        <f>IFERROR(INDEX(Entreprises!$B$2:$B$3000,MATCH(D35,Entreprises!$A$2:$A$3000,0)),"")</f>
        <v/>
      </c>
      <c r="F35" s="57" t="inlineStr">
        <is>
          <t>C024</t>
        </is>
      </c>
      <c r="G35" s="57">
        <f>IFERROR(INDEX(Contacts!$E$2:$E$3000,MATCH(F35,Contacts!$A$2:$A$3000,0)),"")</f>
        <v/>
      </c>
      <c r="H35" s="57" t="inlineStr">
        <is>
          <t>U004</t>
        </is>
      </c>
      <c r="I35" s="57">
        <f>IFERROR(INDEX(Commerciaux!$D$2:$D$3000,MATCH(H35,Commerciaux!$A$2:$A$3000,0)),"")</f>
        <v/>
      </c>
      <c r="J35" s="57" t="inlineStr">
        <is>
          <t>Présentation des nouveautés 2025</t>
        </is>
      </c>
      <c r="K35" s="40" t="inlineStr">
        <is>
          <t>Présentation des nouveautés 2025 à Laurent Mercier, notamment les caisses carton ondulé personnalisées. Accueil favorable et demande d'échantillons.</t>
        </is>
      </c>
      <c r="L35" s="57" t="inlineStr">
        <is>
          <t>Positif</t>
        </is>
      </c>
      <c r="M35" s="57" t="n"/>
      <c r="N35" s="57" t="inlineStr">
        <is>
          <t>Planifier une visite de site</t>
        </is>
      </c>
      <c r="O35" s="58" t="n">
        <v>45783</v>
      </c>
      <c r="P35" s="60" t="n">
        <v>120</v>
      </c>
      <c r="Q35" s="57" t="n"/>
    </row>
    <row r="36" ht="23.85" customHeight="1" s="34">
      <c r="A36" s="57" t="inlineStr">
        <is>
          <t>A0035</t>
        </is>
      </c>
      <c r="B36" s="58" t="n">
        <v>45768</v>
      </c>
      <c r="C36" s="57" t="inlineStr">
        <is>
          <t>Appel</t>
        </is>
      </c>
      <c r="D36" s="57" t="inlineStr">
        <is>
          <t>E003</t>
        </is>
      </c>
      <c r="E36" s="57">
        <f>IFERROR(INDEX(Entreprises!$B$2:$B$3000,MATCH(D36,Entreprises!$A$2:$A$3000,0)),"")</f>
        <v/>
      </c>
      <c r="F36" s="57" t="inlineStr">
        <is>
          <t>C005</t>
        </is>
      </c>
      <c r="G36" s="57">
        <f>IFERROR(INDEX(Contacts!$E$2:$E$3000,MATCH(F36,Contacts!$A$2:$A$3000,0)),"")</f>
        <v/>
      </c>
      <c r="H36" s="57" t="inlineStr">
        <is>
          <t>U002</t>
        </is>
      </c>
      <c r="I36" s="57">
        <f>IFERROR(INDEX(Commerciaux!$D$2:$D$3000,MATCH(H36,Commerciaux!$A$2:$A$3000,0)),"")</f>
        <v/>
      </c>
      <c r="J36" s="57" t="inlineStr">
        <is>
          <t>Relance proposition</t>
        </is>
      </c>
      <c r="K36" s="40" t="inlineStr">
        <is>
          <t>Appel de relance sur la dernière proposition. Sophie Marchand demande quelques jours pour consolider les retours internes.</t>
        </is>
      </c>
      <c r="L36" s="57" t="inlineStr">
        <is>
          <t>À relancer</t>
        </is>
      </c>
      <c r="M36" s="57" t="n"/>
      <c r="N36" s="57" t="n"/>
      <c r="O36" s="58" t="n"/>
      <c r="P36" s="60" t="n">
        <v>15</v>
      </c>
      <c r="Q36" s="57" t="n"/>
    </row>
    <row r="37" ht="23.85" customHeight="1" s="34">
      <c r="A37" s="57" t="inlineStr">
        <is>
          <t>A0036</t>
        </is>
      </c>
      <c r="B37" s="58" t="n">
        <v>45768</v>
      </c>
      <c r="C37" s="57" t="inlineStr">
        <is>
          <t>E-mail</t>
        </is>
      </c>
      <c r="D37" s="57" t="inlineStr">
        <is>
          <t>E019</t>
        </is>
      </c>
      <c r="E37" s="57">
        <f>IFERROR(INDEX(Entreprises!$B$2:$B$3000,MATCH(D37,Entreprises!$A$2:$A$3000,0)),"")</f>
        <v/>
      </c>
      <c r="F37" s="57" t="inlineStr">
        <is>
          <t>C030</t>
        </is>
      </c>
      <c r="G37" s="57">
        <f>IFERROR(INDEX(Contacts!$E$2:$E$3000,MATCH(F37,Contacts!$A$2:$A$3000,0)),"")</f>
        <v/>
      </c>
      <c r="H37" s="57" t="inlineStr">
        <is>
          <t>U005</t>
        </is>
      </c>
      <c r="I37" s="57">
        <f>IFERROR(INDEX(Commerciaux!$D$2:$D$3000,MATCH(H37,Commerciaux!$A$2:$A$3000,0)),"")</f>
        <v/>
      </c>
      <c r="J37" s="57" t="inlineStr">
        <is>
          <t>Envoi du planning</t>
        </is>
      </c>
      <c r="K37" s="40" t="inlineStr">
        <is>
          <t>Envoi à Sandrine Delmas du planning prévisionnel et des points ouverts concernant le renouvellement du contrat étuis 2027.</t>
        </is>
      </c>
      <c r="L37" s="57" t="inlineStr">
        <is>
          <t>À relancer</t>
        </is>
      </c>
      <c r="M37" s="57" t="n"/>
      <c r="N37" s="57" t="n"/>
      <c r="O37" s="58" t="n"/>
      <c r="P37" s="60" t="n"/>
      <c r="Q37" s="57" t="n"/>
    </row>
    <row r="38" ht="23.85" customHeight="1" s="34">
      <c r="A38" s="57" t="inlineStr">
        <is>
          <t>A0037</t>
        </is>
      </c>
      <c r="B38" s="58" t="n">
        <v>45772</v>
      </c>
      <c r="C38" s="57" t="inlineStr">
        <is>
          <t>Appel</t>
        </is>
      </c>
      <c r="D38" s="57" t="inlineStr">
        <is>
          <t>E019</t>
        </is>
      </c>
      <c r="E38" s="57">
        <f>IFERROR(INDEX(Entreprises!$B$2:$B$3000,MATCH(D38,Entreprises!$A$2:$A$3000,0)),"")</f>
        <v/>
      </c>
      <c r="F38" s="57" t="inlineStr">
        <is>
          <t>C030</t>
        </is>
      </c>
      <c r="G38" s="57">
        <f>IFERROR(INDEX(Contacts!$E$2:$E$3000,MATCH(F38,Contacts!$A$2:$A$3000,0)),"")</f>
        <v/>
      </c>
      <c r="H38" s="57" t="inlineStr">
        <is>
          <t>U005</t>
        </is>
      </c>
      <c r="I38" s="57">
        <f>IFERROR(INDEX(Commerciaux!$D$2:$D$3000,MATCH(H38,Commerciaux!$A$2:$A$3000,0)),"")</f>
        <v/>
      </c>
      <c r="J38" s="57" t="inlineStr">
        <is>
          <t>Ajustement de commande</t>
        </is>
      </c>
      <c r="K38" s="40" t="inlineStr">
        <is>
          <t>Appel de Sandrine Delmas pour ajuster les quantités de la prochaine commande de notices pharmaceutiques pliées. Modification prise en compte.</t>
        </is>
      </c>
      <c r="L38" s="57" t="inlineStr">
        <is>
          <t>À relancer</t>
        </is>
      </c>
      <c r="M38" s="57" t="n"/>
      <c r="N38" s="57" t="n"/>
      <c r="O38" s="58" t="n"/>
      <c r="P38" s="60" t="n">
        <v>10</v>
      </c>
      <c r="Q38" s="57" t="n"/>
    </row>
    <row r="39" ht="35.05" customHeight="1" s="34">
      <c r="A39" s="57" t="inlineStr">
        <is>
          <t>A0038</t>
        </is>
      </c>
      <c r="B39" s="58" t="n">
        <v>45772</v>
      </c>
      <c r="C39" s="57" t="inlineStr">
        <is>
          <t>Visite terrain</t>
        </is>
      </c>
      <c r="D39" s="57" t="inlineStr">
        <is>
          <t>E021</t>
        </is>
      </c>
      <c r="E39" s="57">
        <f>IFERROR(INDEX(Entreprises!$B$2:$B$3000,MATCH(D39,Entreprises!$A$2:$A$3000,0)),"")</f>
        <v/>
      </c>
      <c r="F39" s="57" t="inlineStr">
        <is>
          <t>C034</t>
        </is>
      </c>
      <c r="G39" s="57">
        <f>IFERROR(INDEX(Contacts!$E$2:$E$3000,MATCH(F39,Contacts!$A$2:$A$3000,0)),"")</f>
        <v/>
      </c>
      <c r="H39" s="57" t="inlineStr">
        <is>
          <t>U005</t>
        </is>
      </c>
      <c r="I39" s="57">
        <f>IFERROR(INDEX(Commerciaux!$D$2:$D$3000,MATCH(H39,Commerciaux!$A$2:$A$3000,0)),"")</f>
        <v/>
      </c>
      <c r="J39" s="57" t="inlineStr">
        <is>
          <t>Revue d'activité semestrielle</t>
        </is>
      </c>
      <c r="K39" s="40" t="inlineStr">
        <is>
          <t>Revue d'activité semestrielle avec Thierry Lacroix. Satisfaction globale sur la qualité ; demande de visibilité sur l'évolution des prix des matières. Échange sur le déploiement des emballages éco-conçus sur deux usines.</t>
        </is>
      </c>
      <c r="L39" s="57" t="inlineStr">
        <is>
          <t>Positif</t>
        </is>
      </c>
      <c r="M39" s="57" t="n"/>
      <c r="N39" s="57" t="inlineStr">
        <is>
          <t>Envoyer la documentation technique</t>
        </is>
      </c>
      <c r="O39" s="58" t="n">
        <v>45789</v>
      </c>
      <c r="P39" s="60" t="n">
        <v>75</v>
      </c>
      <c r="Q39" s="57" t="n"/>
    </row>
    <row r="40" ht="23.85" customHeight="1" s="34">
      <c r="A40" s="57" t="inlineStr">
        <is>
          <t>A0039</t>
        </is>
      </c>
      <c r="B40" s="58" t="n">
        <v>45775</v>
      </c>
      <c r="C40" s="57" t="inlineStr">
        <is>
          <t>E-mail</t>
        </is>
      </c>
      <c r="D40" s="57" t="inlineStr">
        <is>
          <t>E019</t>
        </is>
      </c>
      <c r="E40" s="57">
        <f>IFERROR(INDEX(Entreprises!$B$2:$B$3000,MATCH(D40,Entreprises!$A$2:$A$3000,0)),"")</f>
        <v/>
      </c>
      <c r="F40" s="57" t="inlineStr">
        <is>
          <t>C030</t>
        </is>
      </c>
      <c r="G40" s="57">
        <f>IFERROR(INDEX(Contacts!$E$2:$E$3000,MATCH(F40,Contacts!$A$2:$A$3000,0)),"")</f>
        <v/>
      </c>
      <c r="H40" s="57" t="inlineStr">
        <is>
          <t>U005</t>
        </is>
      </c>
      <c r="I40" s="57">
        <f>IFERROR(INDEX(Commerciaux!$D$2:$D$3000,MATCH(H40,Commerciaux!$A$2:$A$3000,0)),"")</f>
        <v/>
      </c>
      <c r="J40" s="57" t="inlineStr">
        <is>
          <t>Envoi de fiche technique</t>
        </is>
      </c>
      <c r="K40" s="40" t="inlineStr">
        <is>
          <t>Envoi à Sandrine Delmas de la fiche technique et des certificats des notices pharmaceutiques pliées.</t>
        </is>
      </c>
      <c r="L40" s="57" t="inlineStr">
        <is>
          <t>Neutre</t>
        </is>
      </c>
      <c r="M40" s="57" t="n"/>
      <c r="N40" s="57" t="n"/>
      <c r="O40" s="58" t="n"/>
      <c r="P40" s="60" t="n"/>
      <c r="Q40" s="57" t="n"/>
    </row>
    <row r="41" ht="15" customHeight="1" s="34">
      <c r="A41" s="57" t="inlineStr">
        <is>
          <t>A0040</t>
        </is>
      </c>
      <c r="B41" s="58" t="n">
        <v>45786</v>
      </c>
      <c r="C41" s="57" t="inlineStr">
        <is>
          <t>Réunion visio</t>
        </is>
      </c>
      <c r="D41" s="57" t="inlineStr">
        <is>
          <t>E028</t>
        </is>
      </c>
      <c r="E41" s="57">
        <f>IFERROR(INDEX(Entreprises!$B$2:$B$3000,MATCH(D41,Entreprises!$A$2:$A$3000,0)),"")</f>
        <v/>
      </c>
      <c r="F41" s="57" t="inlineStr">
        <is>
          <t>C047</t>
        </is>
      </c>
      <c r="G41" s="57">
        <f>IFERROR(INDEX(Contacts!$E$2:$E$3000,MATCH(F41,Contacts!$A$2:$A$3000,0)),"")</f>
        <v/>
      </c>
      <c r="H41" s="57" t="inlineStr">
        <is>
          <t>U007</t>
        </is>
      </c>
      <c r="I41" s="57">
        <f>IFERROR(INDEX(Commerciaux!$D$2:$D$3000,MATCH(H41,Commerciaux!$A$2:$A$3000,0)),"")</f>
        <v/>
      </c>
      <c r="J41" s="57" t="inlineStr">
        <is>
          <t>Revue des prévisions</t>
        </is>
      </c>
      <c r="K41" s="40" t="inlineStr">
        <is>
          <t>Visio de revue des prévisions de volumes avec Chloé Muller et la supply chain du client.</t>
        </is>
      </c>
      <c r="L41" s="57" t="inlineStr">
        <is>
          <t>Positif</t>
        </is>
      </c>
      <c r="M41" s="57" t="n"/>
      <c r="N41" s="57" t="n"/>
      <c r="O41" s="58" t="n"/>
      <c r="P41" s="60" t="n">
        <v>45</v>
      </c>
      <c r="Q41" s="57" t="n"/>
    </row>
    <row r="42" ht="15" customHeight="1" s="34">
      <c r="A42" s="57" t="inlineStr">
        <is>
          <t>A0041</t>
        </is>
      </c>
      <c r="B42" s="58" t="n">
        <v>45792</v>
      </c>
      <c r="C42" s="57" t="inlineStr">
        <is>
          <t>Réunion visio</t>
        </is>
      </c>
      <c r="D42" s="57" t="inlineStr">
        <is>
          <t>E012</t>
        </is>
      </c>
      <c r="E42" s="57">
        <f>IFERROR(INDEX(Entreprises!$B$2:$B$3000,MATCH(D42,Entreprises!$A$2:$A$3000,0)),"")</f>
        <v/>
      </c>
      <c r="F42" s="57" t="inlineStr">
        <is>
          <t>C020</t>
        </is>
      </c>
      <c r="G42" s="57">
        <f>IFERROR(INDEX(Contacts!$E$2:$E$3000,MATCH(F42,Contacts!$A$2:$A$3000,0)),"")</f>
        <v/>
      </c>
      <c r="H42" s="57" t="inlineStr">
        <is>
          <t>U004</t>
        </is>
      </c>
      <c r="I42" s="57">
        <f>IFERROR(INDEX(Commerciaux!$D$2:$D$3000,MATCH(H42,Commerciaux!$A$2:$A$3000,0)),"")</f>
        <v/>
      </c>
      <c r="J42" s="57" t="inlineStr">
        <is>
          <t>Revue des prévisions</t>
        </is>
      </c>
      <c r="K42" s="40" t="inlineStr">
        <is>
          <t>Visio de revue des prévisions de volumes avec Mathieu Faure et la supply chain du client.</t>
        </is>
      </c>
      <c r="L42" s="57" t="inlineStr">
        <is>
          <t>Positif</t>
        </is>
      </c>
      <c r="M42" s="57" t="n"/>
      <c r="N42" s="57" t="n"/>
      <c r="O42" s="58" t="n"/>
      <c r="P42" s="60" t="n">
        <v>60</v>
      </c>
      <c r="Q42" s="57" t="n"/>
    </row>
    <row r="43" ht="35.05" customHeight="1" s="34">
      <c r="A43" s="57" t="inlineStr">
        <is>
          <t>A0042</t>
        </is>
      </c>
      <c r="B43" s="58" t="n">
        <v>45796</v>
      </c>
      <c r="C43" s="57" t="inlineStr">
        <is>
          <t>Visite terrain</t>
        </is>
      </c>
      <c r="D43" s="57" t="inlineStr">
        <is>
          <t>E014</t>
        </is>
      </c>
      <c r="E43" s="57">
        <f>IFERROR(INDEX(Entreprises!$B$2:$B$3000,MATCH(D43,Entreprises!$A$2:$A$3000,0)),"")</f>
        <v/>
      </c>
      <c r="F43" s="57" t="inlineStr">
        <is>
          <t>C024</t>
        </is>
      </c>
      <c r="G43" s="57">
        <f>IFERROR(INDEX(Contacts!$E$2:$E$3000,MATCH(F43,Contacts!$A$2:$A$3000,0)),"")</f>
        <v/>
      </c>
      <c r="H43" s="57" t="inlineStr">
        <is>
          <t>U004</t>
        </is>
      </c>
      <c r="I43" s="57">
        <f>IFERROR(INDEX(Commerciaux!$D$2:$D$3000,MATCH(H43,Commerciaux!$A$2:$A$3000,0)),"")</f>
        <v/>
      </c>
      <c r="J43" s="57" t="inlineStr">
        <is>
          <t>Revue d'activité semestrielle</t>
        </is>
      </c>
      <c r="K43" s="40" t="inlineStr">
        <is>
          <t>Revue d'activité semestrielle avec Laurent Mercier. Satisfaction globale sur la qualité ; demande de visibilité sur l'évolution des prix des matières. Échange sur la suppression du polystyrène dans les calages.</t>
        </is>
      </c>
      <c r="L43" s="57" t="inlineStr">
        <is>
          <t>À relancer</t>
        </is>
      </c>
      <c r="M43" s="57" t="n"/>
      <c r="N43" s="57" t="inlineStr">
        <is>
          <t>Planifier une visite de site</t>
        </is>
      </c>
      <c r="O43" s="58" t="n">
        <v>45810</v>
      </c>
      <c r="P43" s="60" t="n">
        <v>75</v>
      </c>
      <c r="Q43" s="57" t="n"/>
    </row>
    <row r="44" ht="15" customHeight="1" s="34">
      <c r="A44" s="57" t="inlineStr">
        <is>
          <t>A0043</t>
        </is>
      </c>
      <c r="B44" s="58" t="n">
        <v>45797</v>
      </c>
      <c r="C44" s="57" t="inlineStr">
        <is>
          <t>Réunion visio</t>
        </is>
      </c>
      <c r="D44" s="57" t="inlineStr">
        <is>
          <t>E003</t>
        </is>
      </c>
      <c r="E44" s="57">
        <f>IFERROR(INDEX(Entreprises!$B$2:$B$3000,MATCH(D44,Entreprises!$A$2:$A$3000,0)),"")</f>
        <v/>
      </c>
      <c r="F44" s="57" t="inlineStr">
        <is>
          <t>C005</t>
        </is>
      </c>
      <c r="G44" s="57">
        <f>IFERROR(INDEX(Contacts!$E$2:$E$3000,MATCH(F44,Contacts!$A$2:$A$3000,0)),"")</f>
        <v/>
      </c>
      <c r="H44" s="57" t="inlineStr">
        <is>
          <t>U002</t>
        </is>
      </c>
      <c r="I44" s="57">
        <f>IFERROR(INDEX(Commerciaux!$D$2:$D$3000,MATCH(H44,Commerciaux!$A$2:$A$3000,0)),"")</f>
        <v/>
      </c>
      <c r="J44" s="57" t="inlineStr">
        <is>
          <t>Revue des prévisions</t>
        </is>
      </c>
      <c r="K44" s="40" t="inlineStr">
        <is>
          <t>Visio de revue des prévisions de volumes avec Sophie Marchand et la supply chain du client.</t>
        </is>
      </c>
      <c r="L44" s="57" t="inlineStr">
        <is>
          <t>Positif</t>
        </is>
      </c>
      <c r="M44" s="57" t="n"/>
      <c r="N44" s="57" t="inlineStr">
        <is>
          <t>Envoyer le devis</t>
        </is>
      </c>
      <c r="O44" s="58" t="n">
        <v>45807</v>
      </c>
      <c r="P44" s="60" t="n">
        <v>45</v>
      </c>
      <c r="Q44" s="57" t="n"/>
    </row>
    <row r="45" ht="23.85" customHeight="1" s="34">
      <c r="A45" s="57" t="inlineStr">
        <is>
          <t>A0044</t>
        </is>
      </c>
      <c r="B45" s="58" t="n">
        <v>45807</v>
      </c>
      <c r="C45" s="57" t="inlineStr">
        <is>
          <t>E-mail</t>
        </is>
      </c>
      <c r="D45" s="57" t="inlineStr">
        <is>
          <t>E023</t>
        </is>
      </c>
      <c r="E45" s="57">
        <f>IFERROR(INDEX(Entreprises!$B$2:$B$3000,MATCH(D45,Entreprises!$A$2:$A$3000,0)),"")</f>
        <v/>
      </c>
      <c r="F45" s="57" t="inlineStr">
        <is>
          <t>C038</t>
        </is>
      </c>
      <c r="G45" s="57">
        <f>IFERROR(INDEX(Contacts!$E$2:$E$3000,MATCH(F45,Contacts!$A$2:$A$3000,0)),"")</f>
        <v/>
      </c>
      <c r="H45" s="57" t="inlineStr">
        <is>
          <t>U006</t>
        </is>
      </c>
      <c r="I45" s="57">
        <f>IFERROR(INDEX(Commerciaux!$D$2:$D$3000,MATCH(H45,Commerciaux!$A$2:$A$3000,0)),"")</f>
        <v/>
      </c>
      <c r="J45" s="57" t="inlineStr">
        <is>
          <t>Envoi de fiche technique</t>
        </is>
      </c>
      <c r="K45" s="40" t="inlineStr">
        <is>
          <t>Envoi à David Nguyen de la fiche technique et des certificats des étuis carton pharmaceutiques imprimés.</t>
        </is>
      </c>
      <c r="L45" s="57" t="inlineStr">
        <is>
          <t>Neutre</t>
        </is>
      </c>
      <c r="M45" s="57" t="n"/>
      <c r="N45" s="57" t="n"/>
      <c r="O45" s="58" t="n"/>
      <c r="P45" s="60" t="n"/>
      <c r="Q45" s="57" t="n"/>
    </row>
    <row r="46" ht="23.85" customHeight="1" s="34">
      <c r="A46" s="57" t="inlineStr">
        <is>
          <t>A0045</t>
        </is>
      </c>
      <c r="B46" s="58" t="n">
        <v>45818</v>
      </c>
      <c r="C46" s="57" t="inlineStr">
        <is>
          <t>Appel</t>
        </is>
      </c>
      <c r="D46" s="57" t="inlineStr">
        <is>
          <t>E021</t>
        </is>
      </c>
      <c r="E46" s="57">
        <f>IFERROR(INDEX(Entreprises!$B$2:$B$3000,MATCH(D46,Entreprises!$A$2:$A$3000,0)),"")</f>
        <v/>
      </c>
      <c r="F46" s="57" t="inlineStr">
        <is>
          <t>C033</t>
        </is>
      </c>
      <c r="G46" s="57">
        <f>IFERROR(INDEX(Contacts!$E$2:$E$3000,MATCH(F46,Contacts!$A$2:$A$3000,0)),"")</f>
        <v/>
      </c>
      <c r="H46" s="57" t="inlineStr">
        <is>
          <t>U005</t>
        </is>
      </c>
      <c r="I46" s="57">
        <f>IFERROR(INDEX(Commerciaux!$D$2:$D$3000,MATCH(H46,Commerciaux!$A$2:$A$3000,0)),"")</f>
        <v/>
      </c>
      <c r="J46" s="57" t="inlineStr">
        <is>
          <t>Point d'avancement projet</t>
        </is>
      </c>
      <c r="K46" s="40" t="inlineStr">
        <is>
          <t>Échange téléphonique avec Valérie Dumas sur le calendrier concernant le déploiement des emballages éco-conçus sur deux usines. Décision interne attendue dans les prochaines semaines.</t>
        </is>
      </c>
      <c r="L46" s="57" t="inlineStr">
        <is>
          <t>Positif</t>
        </is>
      </c>
      <c r="M46" s="57" t="n"/>
      <c r="N46" s="57" t="n"/>
      <c r="O46" s="58" t="n"/>
      <c r="P46" s="60" t="n">
        <v>15</v>
      </c>
      <c r="Q46" s="57" t="n"/>
    </row>
    <row r="47" ht="23.85" customHeight="1" s="34">
      <c r="A47" s="57" t="inlineStr">
        <is>
          <t>A0046</t>
        </is>
      </c>
      <c r="B47" s="58" t="n">
        <v>45820</v>
      </c>
      <c r="C47" s="57" t="inlineStr">
        <is>
          <t>E-mail</t>
        </is>
      </c>
      <c r="D47" s="57" t="inlineStr">
        <is>
          <t>E022</t>
        </is>
      </c>
      <c r="E47" s="57">
        <f>IFERROR(INDEX(Entreprises!$B$2:$B$3000,MATCH(D47,Entreprises!$A$2:$A$3000,0)),"")</f>
        <v/>
      </c>
      <c r="F47" s="57" t="inlineStr">
        <is>
          <t>C035</t>
        </is>
      </c>
      <c r="G47" s="57">
        <f>IFERROR(INDEX(Contacts!$E$2:$E$3000,MATCH(F47,Contacts!$A$2:$A$3000,0)),"")</f>
        <v/>
      </c>
      <c r="H47" s="57" t="inlineStr">
        <is>
          <t>U006</t>
        </is>
      </c>
      <c r="I47" s="57">
        <f>IFERROR(INDEX(Commerciaux!$D$2:$D$3000,MATCH(H47,Commerciaux!$A$2:$A$3000,0)),"")</f>
        <v/>
      </c>
      <c r="J47" s="57" t="inlineStr">
        <is>
          <t>Envoi de la grille tarifaire</t>
        </is>
      </c>
      <c r="K47" s="40" t="inlineStr">
        <is>
          <t>Envoi à Hélène Bouvier de la grille tarifaire actualisée, avec rappel des conditions de paiement (60 jours).</t>
        </is>
      </c>
      <c r="L47" s="57" t="inlineStr">
        <is>
          <t>Neutre</t>
        </is>
      </c>
      <c r="M47" s="57" t="n"/>
      <c r="N47" s="57" t="n"/>
      <c r="O47" s="58" t="n"/>
      <c r="P47" s="60" t="n"/>
      <c r="Q47" s="57" t="n"/>
    </row>
    <row r="48" ht="23.85" customHeight="1" s="34">
      <c r="A48" s="57" t="inlineStr">
        <is>
          <t>A0047</t>
        </is>
      </c>
      <c r="B48" s="58" t="n">
        <v>45821</v>
      </c>
      <c r="C48" s="57" t="inlineStr">
        <is>
          <t>Visite terrain</t>
        </is>
      </c>
      <c r="D48" s="57" t="inlineStr">
        <is>
          <t>E008</t>
        </is>
      </c>
      <c r="E48" s="57">
        <f>IFERROR(INDEX(Entreprises!$B$2:$B$3000,MATCH(D48,Entreprises!$A$2:$A$3000,0)),"")</f>
        <v/>
      </c>
      <c r="F48" s="57" t="inlineStr">
        <is>
          <t>C013</t>
        </is>
      </c>
      <c r="G48" s="57">
        <f>IFERROR(INDEX(Contacts!$E$2:$E$3000,MATCH(F48,Contacts!$A$2:$A$3000,0)),"")</f>
        <v/>
      </c>
      <c r="H48" s="57" t="inlineStr">
        <is>
          <t>U003</t>
        </is>
      </c>
      <c r="I48" s="57">
        <f>IFERROR(INDEX(Commerciaux!$D$2:$D$3000,MATCH(H48,Commerciaux!$A$2:$A$3000,0)),"")</f>
        <v/>
      </c>
      <c r="J48" s="57" t="inlineStr">
        <is>
          <t>Présentation des nouveautés 2025</t>
        </is>
      </c>
      <c r="K48" s="40" t="inlineStr">
        <is>
          <t>Présentation des nouveautés 2025 à Bastien Collet, notamment les étuis spiritueux luxe. Accueil favorable et demande d'échantillons.</t>
        </is>
      </c>
      <c r="L48" s="57" t="inlineStr">
        <is>
          <t>Positif</t>
        </is>
      </c>
      <c r="M48" s="57" t="n"/>
      <c r="N48" s="57" t="inlineStr">
        <is>
          <t>Envoyer la documentation technique</t>
        </is>
      </c>
      <c r="O48" s="58" t="n">
        <v>45831</v>
      </c>
      <c r="P48" s="60" t="n">
        <v>90</v>
      </c>
      <c r="Q48" s="57" t="n"/>
    </row>
    <row r="49" ht="23.85" customHeight="1" s="34">
      <c r="A49" s="57" t="inlineStr">
        <is>
          <t>A0048</t>
        </is>
      </c>
      <c r="B49" s="58" t="n">
        <v>45825</v>
      </c>
      <c r="C49" s="57" t="inlineStr">
        <is>
          <t>E-mail</t>
        </is>
      </c>
      <c r="D49" s="57" t="inlineStr">
        <is>
          <t>E009</t>
        </is>
      </c>
      <c r="E49" s="57">
        <f>IFERROR(INDEX(Entreprises!$B$2:$B$3000,MATCH(D49,Entreprises!$A$2:$A$3000,0)),"")</f>
        <v/>
      </c>
      <c r="F49" s="57" t="inlineStr">
        <is>
          <t>C015</t>
        </is>
      </c>
      <c r="G49" s="57">
        <f>IFERROR(INDEX(Contacts!$E$2:$E$3000,MATCH(F49,Contacts!$A$2:$A$3000,0)),"")</f>
        <v/>
      </c>
      <c r="H49" s="57" t="inlineStr">
        <is>
          <t>U003</t>
        </is>
      </c>
      <c r="I49" s="57">
        <f>IFERROR(INDEX(Commerciaux!$D$2:$D$3000,MATCH(H49,Commerciaux!$A$2:$A$3000,0)),"")</f>
        <v/>
      </c>
      <c r="J49" s="57" t="inlineStr">
        <is>
          <t>Demande de devis</t>
        </is>
      </c>
      <c r="K49" s="40" t="inlineStr">
        <is>
          <t>Pauline Henry demande un devis complémentaire pour une série courte de caisses carton ondulé personnalisées.</t>
        </is>
      </c>
      <c r="L49" s="57" t="inlineStr">
        <is>
          <t>Neutre</t>
        </is>
      </c>
      <c r="M49" s="57" t="n"/>
      <c r="N49" s="57" t="n"/>
      <c r="O49" s="58" t="n"/>
      <c r="P49" s="60" t="n"/>
      <c r="Q49" s="57" t="n"/>
    </row>
    <row r="50" ht="23.85" customHeight="1" s="34">
      <c r="A50" s="57" t="inlineStr">
        <is>
          <t>A0049</t>
        </is>
      </c>
      <c r="B50" s="58" t="n">
        <v>45828</v>
      </c>
      <c r="C50" s="57" t="inlineStr">
        <is>
          <t>E-mail</t>
        </is>
      </c>
      <c r="D50" s="57" t="inlineStr">
        <is>
          <t>E027</t>
        </is>
      </c>
      <c r="E50" s="57">
        <f>IFERROR(INDEX(Entreprises!$B$2:$B$3000,MATCH(D50,Entreprises!$A$2:$A$3000,0)),"")</f>
        <v/>
      </c>
      <c r="F50" s="57" t="inlineStr">
        <is>
          <t>C044</t>
        </is>
      </c>
      <c r="G50" s="57">
        <f>IFERROR(INDEX(Contacts!$E$2:$E$3000,MATCH(F50,Contacts!$A$2:$A$3000,0)),"")</f>
        <v/>
      </c>
      <c r="H50" s="57" t="inlineStr">
        <is>
          <t>U007</t>
        </is>
      </c>
      <c r="I50" s="57">
        <f>IFERROR(INDEX(Commerciaux!$D$2:$D$3000,MATCH(H50,Commerciaux!$A$2:$A$3000,0)),"")</f>
        <v/>
      </c>
      <c r="J50" s="57" t="inlineStr">
        <is>
          <t>Envoi de la grille tarifaire</t>
        </is>
      </c>
      <c r="K50" s="40" t="inlineStr">
        <is>
          <t>Envoi à Laetitia Fournier de la grille tarifaire actualisée, avec rappel des conditions de paiement (60 jours).</t>
        </is>
      </c>
      <c r="L50" s="57" t="inlineStr">
        <is>
          <t>Neutre</t>
        </is>
      </c>
      <c r="M50" s="57" t="n"/>
      <c r="N50" s="57" t="n"/>
      <c r="O50" s="58" t="n"/>
      <c r="P50" s="60" t="n"/>
      <c r="Q50" s="57" t="n"/>
    </row>
    <row r="51" ht="23.85" customHeight="1" s="34">
      <c r="A51" s="57" t="inlineStr">
        <is>
          <t>A0050</t>
        </is>
      </c>
      <c r="B51" s="58" t="n">
        <v>45832</v>
      </c>
      <c r="C51" s="57" t="inlineStr">
        <is>
          <t>Réunion visio</t>
        </is>
      </c>
      <c r="D51" s="57" t="inlineStr">
        <is>
          <t>E003</t>
        </is>
      </c>
      <c r="E51" s="57">
        <f>IFERROR(INDEX(Entreprises!$B$2:$B$3000,MATCH(D51,Entreprises!$A$2:$A$3000,0)),"")</f>
        <v/>
      </c>
      <c r="F51" s="57" t="inlineStr">
        <is>
          <t>C005</t>
        </is>
      </c>
      <c r="G51" s="57">
        <f>IFERROR(INDEX(Contacts!$E$2:$E$3000,MATCH(F51,Contacts!$A$2:$A$3000,0)),"")</f>
        <v/>
      </c>
      <c r="H51" s="57" t="inlineStr">
        <is>
          <t>U002</t>
        </is>
      </c>
      <c r="I51" s="57">
        <f>IFERROR(INDEX(Commerciaux!$D$2:$D$3000,MATCH(H51,Commerciaux!$A$2:$A$3000,0)),"")</f>
        <v/>
      </c>
      <c r="J51" s="57" t="inlineStr">
        <is>
          <t>Cadrage du besoin</t>
        </is>
      </c>
      <c r="K51" s="40" t="inlineStr">
        <is>
          <t>Réunion Teams avec Sophie Marchand pour cadrer le besoin concernant la refonte des notices multilingues. Liste des prérequis techniques partagée.</t>
        </is>
      </c>
      <c r="L51" s="57" t="inlineStr">
        <is>
          <t>Positif</t>
        </is>
      </c>
      <c r="M51" s="57" t="n"/>
      <c r="N51" s="57" t="n"/>
      <c r="O51" s="58" t="n"/>
      <c r="P51" s="60" t="n">
        <v>30</v>
      </c>
      <c r="Q51" s="57" t="n"/>
    </row>
    <row r="52" ht="23.85" customHeight="1" s="34">
      <c r="A52" s="57" t="inlineStr">
        <is>
          <t>A0051</t>
        </is>
      </c>
      <c r="B52" s="58" t="n">
        <v>45840</v>
      </c>
      <c r="C52" s="57" t="inlineStr">
        <is>
          <t>Note</t>
        </is>
      </c>
      <c r="D52" s="57" t="inlineStr">
        <is>
          <t>E012</t>
        </is>
      </c>
      <c r="E52" s="57">
        <f>IFERROR(INDEX(Entreprises!$B$2:$B$3000,MATCH(D52,Entreprises!$A$2:$A$3000,0)),"")</f>
        <v/>
      </c>
      <c r="F52" s="57" t="inlineStr">
        <is>
          <t>C020</t>
        </is>
      </c>
      <c r="G52" s="57">
        <f>IFERROR(INDEX(Contacts!$E$2:$E$3000,MATCH(F52,Contacts!$A$2:$A$3000,0)),"")</f>
        <v/>
      </c>
      <c r="H52" s="57" t="inlineStr">
        <is>
          <t>U004</t>
        </is>
      </c>
      <c r="I52" s="57">
        <f>IFERROR(INDEX(Commerciaux!$D$2:$D$3000,MATCH(H52,Commerciaux!$A$2:$A$3000,0)),"")</f>
        <v/>
      </c>
      <c r="J52" s="57" t="inlineStr">
        <is>
          <t>Préparation négociation</t>
        </is>
      </c>
      <c r="K52" s="40" t="inlineStr">
        <is>
          <t>Note interne : préparer un comparatif de prix face à Kartéa Pharma Pack avant la prochaine négociation.</t>
        </is>
      </c>
      <c r="L52" s="57" t="inlineStr">
        <is>
          <t>Neutre</t>
        </is>
      </c>
      <c r="M52" s="57" t="n"/>
      <c r="N52" s="57" t="n"/>
      <c r="O52" s="58" t="n"/>
      <c r="P52" s="60" t="n"/>
      <c r="Q52" s="57" t="n"/>
    </row>
    <row r="53" ht="23.85" customHeight="1" s="34">
      <c r="A53" s="57" t="inlineStr">
        <is>
          <t>A0052</t>
        </is>
      </c>
      <c r="B53" s="58" t="n">
        <v>45840</v>
      </c>
      <c r="C53" s="57" t="inlineStr">
        <is>
          <t>Visite terrain</t>
        </is>
      </c>
      <c r="D53" s="57" t="inlineStr">
        <is>
          <t>E027</t>
        </is>
      </c>
      <c r="E53" s="57">
        <f>IFERROR(INDEX(Entreprises!$B$2:$B$3000,MATCH(D53,Entreprises!$A$2:$A$3000,0)),"")</f>
        <v/>
      </c>
      <c r="F53" s="57" t="inlineStr">
        <is>
          <t>C044</t>
        </is>
      </c>
      <c r="G53" s="57">
        <f>IFERROR(INDEX(Contacts!$E$2:$E$3000,MATCH(F53,Contacts!$A$2:$A$3000,0)),"")</f>
        <v/>
      </c>
      <c r="H53" s="57" t="inlineStr">
        <is>
          <t>U007</t>
        </is>
      </c>
      <c r="I53" s="57">
        <f>IFERROR(INDEX(Commerciaux!$D$2:$D$3000,MATCH(H53,Commerciaux!$A$2:$A$3000,0)),"")</f>
        <v/>
      </c>
      <c r="J53" s="57" t="inlineStr">
        <is>
          <t>Présentation des nouveautés 2025</t>
        </is>
      </c>
      <c r="K53" s="40" t="inlineStr">
        <is>
          <t>Présentation des nouveautés 2025 à Laetitia Fournier, notamment les emballages éco-conçus mono-matériau. Accueil favorable et demande d'échantillons.</t>
        </is>
      </c>
      <c r="L53" s="57" t="inlineStr">
        <is>
          <t>Neutre</t>
        </is>
      </c>
      <c r="M53" s="57" t="n"/>
      <c r="N53" s="57" t="inlineStr">
        <is>
          <t>Transmettre des échantillons</t>
        </is>
      </c>
      <c r="O53" s="58" t="n">
        <v>45855</v>
      </c>
      <c r="P53" s="60" t="n">
        <v>75</v>
      </c>
      <c r="Q53" s="57" t="n"/>
    </row>
    <row r="54" ht="35.05" customHeight="1" s="34">
      <c r="A54" s="57" t="inlineStr">
        <is>
          <t>A0053</t>
        </is>
      </c>
      <c r="B54" s="58" t="n">
        <v>45849</v>
      </c>
      <c r="C54" s="57" t="inlineStr">
        <is>
          <t>Visite terrain</t>
        </is>
      </c>
      <c r="D54" s="57" t="inlineStr">
        <is>
          <t>E026</t>
        </is>
      </c>
      <c r="E54" s="57">
        <f>IFERROR(INDEX(Entreprises!$B$2:$B$3000,MATCH(D54,Entreprises!$A$2:$A$3000,0)),"")</f>
        <v/>
      </c>
      <c r="F54" s="57" t="inlineStr">
        <is>
          <t>C043</t>
        </is>
      </c>
      <c r="G54" s="57">
        <f>IFERROR(INDEX(Contacts!$E$2:$E$3000,MATCH(F54,Contacts!$A$2:$A$3000,0)),"")</f>
        <v/>
      </c>
      <c r="H54" s="57" t="inlineStr">
        <is>
          <t>U007</t>
        </is>
      </c>
      <c r="I54" s="57">
        <f>IFERROR(INDEX(Commerciaux!$D$2:$D$3000,MATCH(H54,Commerciaux!$A$2:$A$3000,0)),"")</f>
        <v/>
      </c>
      <c r="J54" s="57" t="inlineStr">
        <is>
          <t>Visite de suivi</t>
        </is>
      </c>
      <c r="K54" s="40" t="inlineStr">
        <is>
          <t>Visite de suivi avec Samuel Robin. Revue des commandes en cours et des prévisions du trimestre sur les caisses carton ondulé personnalisées. Pas de difficulté particulière signalée. Samuel Robin évoque la réduction des emballages secondaires.</t>
        </is>
      </c>
      <c r="L54" s="57" t="inlineStr">
        <is>
          <t>À relancer</t>
        </is>
      </c>
      <c r="M54" s="57" t="n"/>
      <c r="N54" s="57" t="inlineStr">
        <is>
          <t>Planifier une visite de site</t>
        </is>
      </c>
      <c r="O54" s="58" t="n">
        <v>45866</v>
      </c>
      <c r="P54" s="60" t="n">
        <v>60</v>
      </c>
      <c r="Q54" s="57" t="n"/>
    </row>
    <row r="55" ht="23.85" customHeight="1" s="34">
      <c r="A55" s="57" t="inlineStr">
        <is>
          <t>A0054</t>
        </is>
      </c>
      <c r="B55" s="58" t="n">
        <v>45852</v>
      </c>
      <c r="C55" s="57" t="inlineStr">
        <is>
          <t>Visite terrain</t>
        </is>
      </c>
      <c r="D55" s="57" t="inlineStr">
        <is>
          <t>E018</t>
        </is>
      </c>
      <c r="E55" s="57">
        <f>IFERROR(INDEX(Entreprises!$B$2:$B$3000,MATCH(D55,Entreprises!$A$2:$A$3000,0)),"")</f>
        <v/>
      </c>
      <c r="F55" s="57" t="inlineStr">
        <is>
          <t>C029</t>
        </is>
      </c>
      <c r="G55" s="57">
        <f>IFERROR(INDEX(Contacts!$E$2:$E$3000,MATCH(F55,Contacts!$A$2:$A$3000,0)),"")</f>
        <v/>
      </c>
      <c r="H55" s="57" t="inlineStr">
        <is>
          <t>U005</t>
        </is>
      </c>
      <c r="I55" s="57">
        <f>IFERROR(INDEX(Commerciaux!$D$2:$D$3000,MATCH(H55,Commerciaux!$A$2:$A$3000,0)),"")</f>
        <v/>
      </c>
      <c r="J55" s="57" t="inlineStr">
        <is>
          <t>Présentation des nouveautés 2025</t>
        </is>
      </c>
      <c r="K55" s="40" t="inlineStr">
        <is>
          <t>Présentation des nouveautés 2025 à Guillaume Petit, notamment les étuis spiritueux luxe. Accueil favorable et demande d'échantillons.</t>
        </is>
      </c>
      <c r="L55" s="57" t="inlineStr">
        <is>
          <t>Positif</t>
        </is>
      </c>
      <c r="M55" s="57" t="n"/>
      <c r="N55" s="57" t="inlineStr">
        <is>
          <t>Envoyer la documentation technique</t>
        </is>
      </c>
      <c r="O55" s="58" t="n">
        <v>45868</v>
      </c>
      <c r="P55" s="60" t="n">
        <v>90</v>
      </c>
      <c r="Q55" s="57" t="n"/>
    </row>
    <row r="56" ht="15" customHeight="1" s="34">
      <c r="A56" s="57" t="inlineStr">
        <is>
          <t>A0055</t>
        </is>
      </c>
      <c r="B56" s="58" t="n">
        <v>45852</v>
      </c>
      <c r="C56" s="57" t="inlineStr">
        <is>
          <t>E-mail</t>
        </is>
      </c>
      <c r="D56" s="57" t="inlineStr">
        <is>
          <t>E027</t>
        </is>
      </c>
      <c r="E56" s="57">
        <f>IFERROR(INDEX(Entreprises!$B$2:$B$3000,MATCH(D56,Entreprises!$A$2:$A$3000,0)),"")</f>
        <v/>
      </c>
      <c r="F56" s="57" t="inlineStr">
        <is>
          <t>C044</t>
        </is>
      </c>
      <c r="G56" s="57">
        <f>IFERROR(INDEX(Contacts!$E$2:$E$3000,MATCH(F56,Contacts!$A$2:$A$3000,0)),"")</f>
        <v/>
      </c>
      <c r="H56" s="57" t="inlineStr">
        <is>
          <t>U007</t>
        </is>
      </c>
      <c r="I56" s="57">
        <f>IFERROR(INDEX(Commerciaux!$D$2:$D$3000,MATCH(H56,Commerciaux!$A$2:$A$3000,0)),"")</f>
        <v/>
      </c>
      <c r="J56" s="57" t="inlineStr">
        <is>
          <t>Envoi de fiche technique</t>
        </is>
      </c>
      <c r="K56" s="40" t="inlineStr">
        <is>
          <t>Envoi à Laetitia Fournier de la fiche technique et des certificats des coffrets rigides premium.</t>
        </is>
      </c>
      <c r="L56" s="57" t="inlineStr">
        <is>
          <t>Neutre</t>
        </is>
      </c>
      <c r="M56" s="57" t="n"/>
      <c r="N56" s="57" t="n"/>
      <c r="O56" s="58" t="n"/>
      <c r="P56" s="60" t="n"/>
      <c r="Q56" s="57" t="n"/>
    </row>
    <row r="57" ht="23.85" customHeight="1" s="34">
      <c r="A57" s="57" t="inlineStr">
        <is>
          <t>A0056</t>
        </is>
      </c>
      <c r="B57" s="58" t="n">
        <v>45856</v>
      </c>
      <c r="C57" s="57" t="inlineStr">
        <is>
          <t>Appel</t>
        </is>
      </c>
      <c r="D57" s="57" t="inlineStr">
        <is>
          <t>E001</t>
        </is>
      </c>
      <c r="E57" s="57">
        <f>IFERROR(INDEX(Entreprises!$B$2:$B$3000,MATCH(D57,Entreprises!$A$2:$A$3000,0)),"")</f>
        <v/>
      </c>
      <c r="F57" s="57" t="inlineStr">
        <is>
          <t>C002</t>
        </is>
      </c>
      <c r="G57" s="57">
        <f>IFERROR(INDEX(Contacts!$E$2:$E$3000,MATCH(F57,Contacts!$A$2:$A$3000,0)),"")</f>
        <v/>
      </c>
      <c r="H57" s="57" t="inlineStr">
        <is>
          <t>U002</t>
        </is>
      </c>
      <c r="I57" s="57">
        <f>IFERROR(INDEX(Commerciaux!$D$2:$D$3000,MATCH(H57,Commerciaux!$A$2:$A$3000,0)),"")</f>
        <v/>
      </c>
      <c r="J57" s="57" t="inlineStr">
        <is>
          <t>Ajustement de commande</t>
        </is>
      </c>
      <c r="K57" s="40" t="inlineStr">
        <is>
          <t>Appel de Kevin Lemaire pour ajuster les quantités de la prochaine commande d'étiquettes adhésives haute définition. Modification prise en compte.</t>
        </is>
      </c>
      <c r="L57" s="57" t="inlineStr">
        <is>
          <t>Positif</t>
        </is>
      </c>
      <c r="M57" s="57" t="n"/>
      <c r="N57" s="57" t="inlineStr">
        <is>
          <t>Planifier une visite de site</t>
        </is>
      </c>
      <c r="O57" s="58" t="n">
        <v>45873</v>
      </c>
      <c r="P57" s="60" t="n">
        <v>5</v>
      </c>
      <c r="Q57" s="57" t="n"/>
    </row>
    <row r="58" ht="23.85" customHeight="1" s="34">
      <c r="A58" s="57" t="inlineStr">
        <is>
          <t>A0057</t>
        </is>
      </c>
      <c r="B58" s="58" t="n">
        <v>45861</v>
      </c>
      <c r="C58" s="57" t="inlineStr">
        <is>
          <t>Visite terrain</t>
        </is>
      </c>
      <c r="D58" s="57" t="inlineStr">
        <is>
          <t>E007</t>
        </is>
      </c>
      <c r="E58" s="57">
        <f>IFERROR(INDEX(Entreprises!$B$2:$B$3000,MATCH(D58,Entreprises!$A$2:$A$3000,0)),"")</f>
        <v/>
      </c>
      <c r="F58" s="57" t="inlineStr">
        <is>
          <t>C011</t>
        </is>
      </c>
      <c r="G58" s="57">
        <f>IFERROR(INDEX(Contacts!$E$2:$E$3000,MATCH(F58,Contacts!$A$2:$A$3000,0)),"")</f>
        <v/>
      </c>
      <c r="H58" s="57" t="inlineStr">
        <is>
          <t>U002</t>
        </is>
      </c>
      <c r="I58" s="57">
        <f>IFERROR(INDEX(Commerciaux!$D$2:$D$3000,MATCH(H58,Commerciaux!$A$2:$A$3000,0)),"")</f>
        <v/>
      </c>
      <c r="J58" s="57" t="inlineStr">
        <is>
          <t>Présentation des nouveautés 2025</t>
        </is>
      </c>
      <c r="K58" s="40" t="inlineStr">
        <is>
          <t>Présentation des nouveautés 2025 à François Girard, notamment les caisses carton ondulé personnalisées. Accueil favorable et demande d'échantillons.</t>
        </is>
      </c>
      <c r="L58" s="57" t="inlineStr">
        <is>
          <t>Positif</t>
        </is>
      </c>
      <c r="M58" s="57" t="n"/>
      <c r="N58" s="57" t="inlineStr">
        <is>
          <t>Planifier une visite de site</t>
        </is>
      </c>
      <c r="O58" s="58" t="n">
        <v>45882</v>
      </c>
      <c r="P58" s="60" t="n">
        <v>120</v>
      </c>
      <c r="Q58" s="57" t="n"/>
    </row>
    <row r="59" ht="15" customHeight="1" s="34">
      <c r="A59" s="57" t="inlineStr">
        <is>
          <t>A0058</t>
        </is>
      </c>
      <c r="B59" s="58" t="n">
        <v>45863</v>
      </c>
      <c r="C59" s="57" t="inlineStr">
        <is>
          <t>Appel</t>
        </is>
      </c>
      <c r="D59" s="57" t="inlineStr">
        <is>
          <t>E023</t>
        </is>
      </c>
      <c r="E59" s="57">
        <f>IFERROR(INDEX(Entreprises!$B$2:$B$3000,MATCH(D59,Entreprises!$A$2:$A$3000,0)),"")</f>
        <v/>
      </c>
      <c r="F59" s="57" t="inlineStr">
        <is>
          <t>C037</t>
        </is>
      </c>
      <c r="G59" s="57">
        <f>IFERROR(INDEX(Contacts!$E$2:$E$3000,MATCH(F59,Contacts!$A$2:$A$3000,0)),"")</f>
        <v/>
      </c>
      <c r="H59" s="57" t="inlineStr">
        <is>
          <t>U006</t>
        </is>
      </c>
      <c r="I59" s="57">
        <f>IFERROR(INDEX(Commerciaux!$D$2:$D$3000,MATCH(H59,Commerciaux!$A$2:$A$3000,0)),"")</f>
        <v/>
      </c>
      <c r="J59" s="57" t="inlineStr">
        <is>
          <t>Suivi de livraison</t>
        </is>
      </c>
      <c r="K59" s="40" t="inlineStr">
        <is>
          <t>Appel de suivi après la dernière livraison. Caroline Lefèvre confirme la conformité des lots reçus.</t>
        </is>
      </c>
      <c r="L59" s="57" t="inlineStr">
        <is>
          <t>Neutre</t>
        </is>
      </c>
      <c r="M59" s="57" t="n"/>
      <c r="N59" s="57" t="inlineStr">
        <is>
          <t>Envoyer la documentation technique</t>
        </is>
      </c>
      <c r="O59" s="58" t="n">
        <v>45877</v>
      </c>
      <c r="P59" s="60" t="n">
        <v>10</v>
      </c>
      <c r="Q59" s="57" t="n"/>
    </row>
    <row r="60" ht="23.85" customHeight="1" s="34">
      <c r="A60" s="57" t="inlineStr">
        <is>
          <t>A0059</t>
        </is>
      </c>
      <c r="B60" s="58" t="n">
        <v>45867</v>
      </c>
      <c r="C60" s="57" t="inlineStr">
        <is>
          <t>Réunion visio</t>
        </is>
      </c>
      <c r="D60" s="57" t="inlineStr">
        <is>
          <t>E019</t>
        </is>
      </c>
      <c r="E60" s="57">
        <f>IFERROR(INDEX(Entreprises!$B$2:$B$3000,MATCH(D60,Entreprises!$A$2:$A$3000,0)),"")</f>
        <v/>
      </c>
      <c r="F60" s="57" t="inlineStr">
        <is>
          <t>C030</t>
        </is>
      </c>
      <c r="G60" s="57">
        <f>IFERROR(INDEX(Contacts!$E$2:$E$3000,MATCH(F60,Contacts!$A$2:$A$3000,0)),"")</f>
        <v/>
      </c>
      <c r="H60" s="57" t="inlineStr">
        <is>
          <t>U005</t>
        </is>
      </c>
      <c r="I60" s="57">
        <f>IFERROR(INDEX(Commerciaux!$D$2:$D$3000,MATCH(H60,Commerciaux!$A$2:$A$3000,0)),"")</f>
        <v/>
      </c>
      <c r="J60" s="57" t="inlineStr">
        <is>
          <t>Cadrage du besoin</t>
        </is>
      </c>
      <c r="K60" s="40" t="inlineStr">
        <is>
          <t>Réunion Teams avec Sandrine Delmas pour cadrer le besoin concernant le renouvellement du contrat étuis 2027. Liste des prérequis techniques partagée.</t>
        </is>
      </c>
      <c r="L60" s="57" t="inlineStr">
        <is>
          <t>Positif</t>
        </is>
      </c>
      <c r="M60" s="57" t="n"/>
      <c r="N60" s="57" t="n"/>
      <c r="O60" s="58" t="n"/>
      <c r="P60" s="60" t="n">
        <v>60</v>
      </c>
      <c r="Q60" s="57" t="n"/>
    </row>
    <row r="61" ht="15" customHeight="1" s="34">
      <c r="A61" s="57" t="inlineStr">
        <is>
          <t>A0060</t>
        </is>
      </c>
      <c r="B61" s="58" t="n">
        <v>45870</v>
      </c>
      <c r="C61" s="57" t="inlineStr">
        <is>
          <t>Réunion visio</t>
        </is>
      </c>
      <c r="D61" s="57" t="inlineStr">
        <is>
          <t>E014</t>
        </is>
      </c>
      <c r="E61" s="57">
        <f>IFERROR(INDEX(Entreprises!$B$2:$B$3000,MATCH(D61,Entreprises!$A$2:$A$3000,0)),"")</f>
        <v/>
      </c>
      <c r="F61" s="57" t="inlineStr">
        <is>
          <t>C024</t>
        </is>
      </c>
      <c r="G61" s="57">
        <f>IFERROR(INDEX(Contacts!$E$2:$E$3000,MATCH(F61,Contacts!$A$2:$A$3000,0)),"")</f>
        <v/>
      </c>
      <c r="H61" s="57" t="inlineStr">
        <is>
          <t>U004</t>
        </is>
      </c>
      <c r="I61" s="57">
        <f>IFERROR(INDEX(Commerciaux!$D$2:$D$3000,MATCH(H61,Commerciaux!$A$2:$A$3000,0)),"")</f>
        <v/>
      </c>
      <c r="J61" s="57" t="inlineStr">
        <is>
          <t>Revue des prévisions</t>
        </is>
      </c>
      <c r="K61" s="40" t="inlineStr">
        <is>
          <t>Visio de revue des prévisions de volumes avec Laurent Mercier et la supply chain du client.</t>
        </is>
      </c>
      <c r="L61" s="57" t="inlineStr">
        <is>
          <t>Positif</t>
        </is>
      </c>
      <c r="M61" s="57" t="n"/>
      <c r="N61" s="57" t="inlineStr">
        <is>
          <t>Envoyer le devis</t>
        </is>
      </c>
      <c r="O61" s="58" t="n">
        <v>45887</v>
      </c>
      <c r="P61" s="60" t="n">
        <v>30</v>
      </c>
      <c r="Q61" s="57" t="n"/>
    </row>
    <row r="62" ht="23.85" customHeight="1" s="34">
      <c r="A62" s="57" t="inlineStr">
        <is>
          <t>A0061</t>
        </is>
      </c>
      <c r="B62" s="58" t="n">
        <v>45877</v>
      </c>
      <c r="C62" s="57" t="inlineStr">
        <is>
          <t>Appel</t>
        </is>
      </c>
      <c r="D62" s="57" t="inlineStr">
        <is>
          <t>E009</t>
        </is>
      </c>
      <c r="E62" s="57">
        <f>IFERROR(INDEX(Entreprises!$B$2:$B$3000,MATCH(D62,Entreprises!$A$2:$A$3000,0)),"")</f>
        <v/>
      </c>
      <c r="F62" s="57" t="inlineStr">
        <is>
          <t>C015</t>
        </is>
      </c>
      <c r="G62" s="57">
        <f>IFERROR(INDEX(Contacts!$E$2:$E$3000,MATCH(F62,Contacts!$A$2:$A$3000,0)),"")</f>
        <v/>
      </c>
      <c r="H62" s="57" t="inlineStr">
        <is>
          <t>U003</t>
        </is>
      </c>
      <c r="I62" s="57">
        <f>IFERROR(INDEX(Commerciaux!$D$2:$D$3000,MATCH(H62,Commerciaux!$A$2:$A$3000,0)),"")</f>
        <v/>
      </c>
      <c r="J62" s="57" t="inlineStr">
        <is>
          <t>Point d'avancement projet</t>
        </is>
      </c>
      <c r="K62" s="40" t="inlineStr">
        <is>
          <t>Échange téléphonique avec Pauline Henry sur le calendrier concernant le renouvellement des étuis de la gamme rosé. Décision interne attendue dans les prochaines semaines.</t>
        </is>
      </c>
      <c r="L62" s="57" t="inlineStr">
        <is>
          <t>Neutre</t>
        </is>
      </c>
      <c r="M62" s="57" t="n"/>
      <c r="N62" s="57" t="n"/>
      <c r="O62" s="58" t="n"/>
      <c r="P62" s="60" t="n">
        <v>20</v>
      </c>
      <c r="Q62" s="57" t="n"/>
    </row>
    <row r="63" ht="35.05" customHeight="1" s="34">
      <c r="A63" s="57" t="inlineStr">
        <is>
          <t>A0062</t>
        </is>
      </c>
      <c r="B63" s="58" t="n">
        <v>45880</v>
      </c>
      <c r="C63" s="57" t="inlineStr">
        <is>
          <t>Visite terrain</t>
        </is>
      </c>
      <c r="D63" s="57" t="inlineStr">
        <is>
          <t>E019</t>
        </is>
      </c>
      <c r="E63" s="57">
        <f>IFERROR(INDEX(Entreprises!$B$2:$B$3000,MATCH(D63,Entreprises!$A$2:$A$3000,0)),"")</f>
        <v/>
      </c>
      <c r="F63" s="57" t="inlineStr">
        <is>
          <t>C031</t>
        </is>
      </c>
      <c r="G63" s="57">
        <f>IFERROR(INDEX(Contacts!$E$2:$E$3000,MATCH(F63,Contacts!$A$2:$A$3000,0)),"")</f>
        <v/>
      </c>
      <c r="H63" s="57" t="inlineStr">
        <is>
          <t>U005</t>
        </is>
      </c>
      <c r="I63" s="57">
        <f>IFERROR(INDEX(Commerciaux!$D$2:$D$3000,MATCH(H63,Commerciaux!$A$2:$A$3000,0)),"")</f>
        <v/>
      </c>
      <c r="J63" s="57" t="inlineStr">
        <is>
          <t>Visite de la ligne de conditionnement</t>
        </is>
      </c>
      <c r="K63" s="40" t="inlineStr">
        <is>
          <t>Visite du site avec Benoît Carrière et l'équipe de production. Observation de la ligne de conditionnement ; points d'amélioration identifiés sur les changements de format. Intérêt exprimé pour le renouvellement du contrat étuis 2027.</t>
        </is>
      </c>
      <c r="L63" s="57" t="inlineStr">
        <is>
          <t>Neutre</t>
        </is>
      </c>
      <c r="M63" s="57" t="n"/>
      <c r="N63" s="57" t="inlineStr">
        <is>
          <t>Envoyer le devis</t>
        </is>
      </c>
      <c r="O63" s="58" t="n">
        <v>45891</v>
      </c>
      <c r="P63" s="60" t="n">
        <v>90</v>
      </c>
      <c r="Q63" s="57" t="n"/>
    </row>
    <row r="64" ht="23.85" customHeight="1" s="34">
      <c r="A64" s="57" t="inlineStr">
        <is>
          <t>A0063</t>
        </is>
      </c>
      <c r="B64" s="58" t="n">
        <v>45882</v>
      </c>
      <c r="C64" s="57" t="inlineStr">
        <is>
          <t>Appel</t>
        </is>
      </c>
      <c r="D64" s="57" t="inlineStr">
        <is>
          <t>E003</t>
        </is>
      </c>
      <c r="E64" s="57">
        <f>IFERROR(INDEX(Entreprises!$B$2:$B$3000,MATCH(D64,Entreprises!$A$2:$A$3000,0)),"")</f>
        <v/>
      </c>
      <c r="F64" s="57" t="inlineStr">
        <is>
          <t>C006</t>
        </is>
      </c>
      <c r="G64" s="57">
        <f>IFERROR(INDEX(Contacts!$E$2:$E$3000,MATCH(F64,Contacts!$A$2:$A$3000,0)),"")</f>
        <v/>
      </c>
      <c r="H64" s="57" t="inlineStr">
        <is>
          <t>U002</t>
        </is>
      </c>
      <c r="I64" s="57">
        <f>IFERROR(INDEX(Commerciaux!$D$2:$D$3000,MATCH(H64,Commerciaux!$A$2:$A$3000,0)),"")</f>
        <v/>
      </c>
      <c r="J64" s="57" t="inlineStr">
        <is>
          <t>Point d'avancement projet</t>
        </is>
      </c>
      <c r="K64" s="40" t="inlineStr">
        <is>
          <t>Échange téléphonique avec Olivier Chen sur le calendrier concernant la refonte des notices multilingues. Décision interne attendue dans les prochaines semaines.</t>
        </is>
      </c>
      <c r="L64" s="57" t="inlineStr">
        <is>
          <t>Neutre</t>
        </is>
      </c>
      <c r="M64" s="57" t="n"/>
      <c r="N64" s="57" t="n"/>
      <c r="O64" s="58" t="n"/>
      <c r="P64" s="60" t="n">
        <v>15</v>
      </c>
      <c r="Q64" s="57" t="n"/>
    </row>
    <row r="65" ht="23.85" customHeight="1" s="34">
      <c r="A65" s="57" t="inlineStr">
        <is>
          <t>A0064</t>
        </is>
      </c>
      <c r="B65" s="58" t="n">
        <v>45884</v>
      </c>
      <c r="C65" s="57" t="inlineStr">
        <is>
          <t>E-mail</t>
        </is>
      </c>
      <c r="D65" s="57" t="inlineStr">
        <is>
          <t>E007</t>
        </is>
      </c>
      <c r="E65" s="57">
        <f>IFERROR(INDEX(Entreprises!$B$2:$B$3000,MATCH(D65,Entreprises!$A$2:$A$3000,0)),"")</f>
        <v/>
      </c>
      <c r="F65" s="57" t="inlineStr">
        <is>
          <t>C011</t>
        </is>
      </c>
      <c r="G65" s="57">
        <f>IFERROR(INDEX(Contacts!$E$2:$E$3000,MATCH(F65,Contacts!$A$2:$A$3000,0)),"")</f>
        <v/>
      </c>
      <c r="H65" s="57" t="inlineStr">
        <is>
          <t>U002</t>
        </is>
      </c>
      <c r="I65" s="57">
        <f>IFERROR(INDEX(Commerciaux!$D$2:$D$3000,MATCH(H65,Commerciaux!$A$2:$A$3000,0)),"")</f>
        <v/>
      </c>
      <c r="J65" s="57" t="inlineStr">
        <is>
          <t>Envoi du planning</t>
        </is>
      </c>
      <c r="K65" s="40" t="inlineStr">
        <is>
          <t>Envoi à François Girard du planning prévisionnel et des points ouverts concernant l'harmonisation des étiquettes logistiques entre sites.</t>
        </is>
      </c>
      <c r="L65" s="57" t="inlineStr">
        <is>
          <t>Neutre</t>
        </is>
      </c>
      <c r="M65" s="57" t="n"/>
      <c r="N65" s="57" t="n"/>
      <c r="O65" s="58" t="n"/>
      <c r="P65" s="60" t="n"/>
      <c r="Q65" s="57" t="n"/>
    </row>
    <row r="66" ht="23.85" customHeight="1" s="34">
      <c r="A66" s="57" t="inlineStr">
        <is>
          <t>A0065</t>
        </is>
      </c>
      <c r="B66" s="58" t="n">
        <v>45887</v>
      </c>
      <c r="C66" s="57" t="inlineStr">
        <is>
          <t>Appel</t>
        </is>
      </c>
      <c r="D66" s="57" t="inlineStr">
        <is>
          <t>E012</t>
        </is>
      </c>
      <c r="E66" s="57">
        <f>IFERROR(INDEX(Entreprises!$B$2:$B$3000,MATCH(D66,Entreprises!$A$2:$A$3000,0)),"")</f>
        <v/>
      </c>
      <c r="F66" s="57" t="inlineStr">
        <is>
          <t>C019</t>
        </is>
      </c>
      <c r="G66" s="57">
        <f>IFERROR(INDEX(Contacts!$E$2:$E$3000,MATCH(F66,Contacts!$A$2:$A$3000,0)),"")</f>
        <v/>
      </c>
      <c r="H66" s="57" t="inlineStr">
        <is>
          <t>U004</t>
        </is>
      </c>
      <c r="I66" s="57">
        <f>IFERROR(INDEX(Commerciaux!$D$2:$D$3000,MATCH(H66,Commerciaux!$A$2:$A$3000,0)),"")</f>
        <v/>
      </c>
      <c r="J66" s="57" t="inlineStr">
        <is>
          <t>Ajustement de commande</t>
        </is>
      </c>
      <c r="K66" s="40" t="inlineStr">
        <is>
          <t>Appel de Isabelle Roche pour ajuster les quantités de la prochaine commande d'étuis carton pharmaceutiques imprimés. Modification prise en compte.</t>
        </is>
      </c>
      <c r="L66" s="57" t="inlineStr">
        <is>
          <t>Positif</t>
        </is>
      </c>
      <c r="M66" s="57" t="n"/>
      <c r="N66" s="57" t="n"/>
      <c r="O66" s="58" t="n"/>
      <c r="P66" s="60" t="n">
        <v>20</v>
      </c>
      <c r="Q66" s="57" t="n"/>
    </row>
    <row r="67" ht="35.05" customHeight="1" s="34">
      <c r="A67" s="57" t="inlineStr">
        <is>
          <t>A0066</t>
        </is>
      </c>
      <c r="B67" s="58" t="n">
        <v>45888</v>
      </c>
      <c r="C67" s="57" t="inlineStr">
        <is>
          <t>Visite terrain</t>
        </is>
      </c>
      <c r="D67" s="57" t="inlineStr">
        <is>
          <t>E017</t>
        </is>
      </c>
      <c r="E67" s="57">
        <f>IFERROR(INDEX(Entreprises!$B$2:$B$3000,MATCH(D67,Entreprises!$A$2:$A$3000,0)),"")</f>
        <v/>
      </c>
      <c r="F67" s="57" t="inlineStr">
        <is>
          <t>C027</t>
        </is>
      </c>
      <c r="G67" s="57">
        <f>IFERROR(INDEX(Contacts!$E$2:$E$3000,MATCH(F67,Contacts!$A$2:$A$3000,0)),"")</f>
        <v/>
      </c>
      <c r="H67" s="57" t="inlineStr">
        <is>
          <t>U005</t>
        </is>
      </c>
      <c r="I67" s="57">
        <f>IFERROR(INDEX(Commerciaux!$D$2:$D$3000,MATCH(H67,Commerciaux!$A$2:$A$3000,0)),"")</f>
        <v/>
      </c>
      <c r="J67" s="57" t="inlineStr">
        <is>
          <t>Visite de suivi</t>
        </is>
      </c>
      <c r="K67" s="40" t="inlineStr">
        <is>
          <t>Visite de suivi avec Céline Barbier. Revue des commandes en cours et des prévisions du trimestre sur les coffrets rigides premium. Pas de difficulté particulière signalée. Céline Barbier évoque le coffret réutilisable de la gamme premium.</t>
        </is>
      </c>
      <c r="L67" s="57" t="inlineStr">
        <is>
          <t>Neutre</t>
        </is>
      </c>
      <c r="M67" s="57" t="n"/>
      <c r="N67" s="57" t="inlineStr">
        <is>
          <t>Transmettre des échantillons</t>
        </is>
      </c>
      <c r="O67" s="58" t="n">
        <v>45901</v>
      </c>
      <c r="P67" s="60" t="n">
        <v>120</v>
      </c>
      <c r="Q67" s="57" t="n"/>
    </row>
    <row r="68" ht="23.85" customHeight="1" s="34">
      <c r="A68" s="57" t="inlineStr">
        <is>
          <t>A0067</t>
        </is>
      </c>
      <c r="B68" s="58" t="n">
        <v>45888</v>
      </c>
      <c r="C68" s="57" t="inlineStr">
        <is>
          <t>E-mail</t>
        </is>
      </c>
      <c r="D68" s="57" t="inlineStr">
        <is>
          <t>E027</t>
        </is>
      </c>
      <c r="E68" s="57">
        <f>IFERROR(INDEX(Entreprises!$B$2:$B$3000,MATCH(D68,Entreprises!$A$2:$A$3000,0)),"")</f>
        <v/>
      </c>
      <c r="F68" s="57" t="inlineStr">
        <is>
          <t>C044</t>
        </is>
      </c>
      <c r="G68" s="57">
        <f>IFERROR(INDEX(Contacts!$E$2:$E$3000,MATCH(F68,Contacts!$A$2:$A$3000,0)),"")</f>
        <v/>
      </c>
      <c r="H68" s="57" t="inlineStr">
        <is>
          <t>U007</t>
        </is>
      </c>
      <c r="I68" s="57">
        <f>IFERROR(INDEX(Commerciaux!$D$2:$D$3000,MATCH(H68,Commerciaux!$A$2:$A$3000,0)),"")</f>
        <v/>
      </c>
      <c r="J68" s="57" t="inlineStr">
        <is>
          <t>Demande de devis</t>
        </is>
      </c>
      <c r="K68" s="40" t="inlineStr">
        <is>
          <t>Laetitia Fournier demande un devis complémentaire pour une série courte de coffrets rigides premium.</t>
        </is>
      </c>
      <c r="L68" s="57" t="inlineStr">
        <is>
          <t>Neutre</t>
        </is>
      </c>
      <c r="M68" s="57" t="n"/>
      <c r="N68" s="57" t="n"/>
      <c r="O68" s="58" t="n"/>
      <c r="P68" s="60" t="n"/>
      <c r="Q68" s="57" t="n"/>
    </row>
    <row r="69" ht="23.85" customHeight="1" s="34">
      <c r="A69" s="57" t="inlineStr">
        <is>
          <t>A0068</t>
        </is>
      </c>
      <c r="B69" s="58" t="n">
        <v>45888</v>
      </c>
      <c r="C69" s="57" t="inlineStr">
        <is>
          <t>E-mail</t>
        </is>
      </c>
      <c r="D69" s="57" t="inlineStr">
        <is>
          <t>E030</t>
        </is>
      </c>
      <c r="E69" s="57">
        <f>IFERROR(INDEX(Entreprises!$B$2:$B$3000,MATCH(D69,Entreprises!$A$2:$A$3000,0)),"")</f>
        <v/>
      </c>
      <c r="F69" s="57" t="inlineStr">
        <is>
          <t>C050</t>
        </is>
      </c>
      <c r="G69" s="57">
        <f>IFERROR(INDEX(Contacts!$E$2:$E$3000,MATCH(F69,Contacts!$A$2:$A$3000,0)),"")</f>
        <v/>
      </c>
      <c r="H69" s="57" t="inlineStr">
        <is>
          <t>U007</t>
        </is>
      </c>
      <c r="I69" s="57">
        <f>IFERROR(INDEX(Commerciaux!$D$2:$D$3000,MATCH(H69,Commerciaux!$A$2:$A$3000,0)),"")</f>
        <v/>
      </c>
      <c r="J69" s="57" t="inlineStr">
        <is>
          <t>Demande de devis</t>
        </is>
      </c>
      <c r="K69" s="40" t="inlineStr">
        <is>
          <t>Pierre-Yves Guérin demande un devis complémentaire pour une série courte de caisses carton ondulé personnalisées.</t>
        </is>
      </c>
      <c r="L69" s="57" t="inlineStr">
        <is>
          <t>Neutre</t>
        </is>
      </c>
      <c r="M69" s="57" t="n"/>
      <c r="N69" s="57" t="n"/>
      <c r="O69" s="58" t="n"/>
      <c r="P69" s="60" t="n"/>
      <c r="Q69" s="57" t="n"/>
    </row>
    <row r="70" ht="23.85" customHeight="1" s="34">
      <c r="A70" s="57" t="inlineStr">
        <is>
          <t>A0069</t>
        </is>
      </c>
      <c r="B70" s="58" t="n">
        <v>45918</v>
      </c>
      <c r="C70" s="57" t="inlineStr">
        <is>
          <t>Note</t>
        </is>
      </c>
      <c r="D70" s="57" t="inlineStr">
        <is>
          <t>E022</t>
        </is>
      </c>
      <c r="E70" s="57">
        <f>IFERROR(INDEX(Entreprises!$B$2:$B$3000,MATCH(D70,Entreprises!$A$2:$A$3000,0)),"")</f>
        <v/>
      </c>
      <c r="F70" s="57" t="inlineStr">
        <is>
          <t>C036</t>
        </is>
      </c>
      <c r="G70" s="57">
        <f>IFERROR(INDEX(Contacts!$E$2:$E$3000,MATCH(F70,Contacts!$A$2:$A$3000,0)),"")</f>
        <v/>
      </c>
      <c r="H70" s="57" t="inlineStr">
        <is>
          <t>U006</t>
        </is>
      </c>
      <c r="I70" s="57">
        <f>IFERROR(INDEX(Commerciaux!$D$2:$D$3000,MATCH(H70,Commerciaux!$A$2:$A$3000,0)),"")</f>
        <v/>
      </c>
      <c r="J70" s="57" t="inlineStr">
        <is>
          <t>Préparation négociation</t>
        </is>
      </c>
      <c r="K70" s="40" t="inlineStr">
        <is>
          <t>Note interne : préparer un comparatif de prix face à Kartéa Pharma Pack avant la prochaine négociation.</t>
        </is>
      </c>
      <c r="L70" s="57" t="inlineStr">
        <is>
          <t>Neutre</t>
        </is>
      </c>
      <c r="M70" s="57" t="n"/>
      <c r="N70" s="57" t="n"/>
      <c r="O70" s="58" t="n"/>
      <c r="P70" s="60" t="n"/>
      <c r="Q70" s="57" t="n"/>
    </row>
    <row r="71" ht="23.85" customHeight="1" s="34">
      <c r="A71" s="57" t="inlineStr">
        <is>
          <t>A0070</t>
        </is>
      </c>
      <c r="B71" s="58" t="n">
        <v>45926</v>
      </c>
      <c r="C71" s="57" t="inlineStr">
        <is>
          <t>Visite terrain</t>
        </is>
      </c>
      <c r="D71" s="57" t="inlineStr">
        <is>
          <t>E017</t>
        </is>
      </c>
      <c r="E71" s="57">
        <f>IFERROR(INDEX(Entreprises!$B$2:$B$3000,MATCH(D71,Entreprises!$A$2:$A$3000,0)),"")</f>
        <v/>
      </c>
      <c r="F71" s="57" t="inlineStr">
        <is>
          <t>C028</t>
        </is>
      </c>
      <c r="G71" s="57">
        <f>IFERROR(INDEX(Contacts!$E$2:$E$3000,MATCH(F71,Contacts!$A$2:$A$3000,0)),"")</f>
        <v/>
      </c>
      <c r="H71" s="57" t="inlineStr">
        <is>
          <t>U005</t>
        </is>
      </c>
      <c r="I71" s="57">
        <f>IFERROR(INDEX(Commerciaux!$D$2:$D$3000,MATCH(H71,Commerciaux!$A$2:$A$3000,0)),"")</f>
        <v/>
      </c>
      <c r="J71" s="57" t="inlineStr">
        <is>
          <t>Présentation des nouveautés 2025</t>
        </is>
      </c>
      <c r="K71" s="40" t="inlineStr">
        <is>
          <t>Présentation des nouveautés 2025 à Romain Arnaud, notamment les étuis spiritueux luxe. Accueil favorable et demande d'échantillons.</t>
        </is>
      </c>
      <c r="L71" s="57" t="inlineStr">
        <is>
          <t>Négatif</t>
        </is>
      </c>
      <c r="M71" s="57" t="n"/>
      <c r="N71" s="57" t="inlineStr">
        <is>
          <t>Envoyer le devis</t>
        </is>
      </c>
      <c r="O71" s="58" t="n">
        <v>45946</v>
      </c>
      <c r="P71" s="60" t="n">
        <v>120</v>
      </c>
      <c r="Q71" s="57" t="n"/>
    </row>
    <row r="72" ht="23.85" customHeight="1" s="34">
      <c r="A72" s="57" t="inlineStr">
        <is>
          <t>A0071</t>
        </is>
      </c>
      <c r="B72" s="58" t="n">
        <v>45926</v>
      </c>
      <c r="C72" s="57" t="inlineStr">
        <is>
          <t>Appel</t>
        </is>
      </c>
      <c r="D72" s="57" t="inlineStr">
        <is>
          <t>E018</t>
        </is>
      </c>
      <c r="E72" s="57">
        <f>IFERROR(INDEX(Entreprises!$B$2:$B$3000,MATCH(D72,Entreprises!$A$2:$A$3000,0)),"")</f>
        <v/>
      </c>
      <c r="F72" s="57" t="inlineStr">
        <is>
          <t>C029</t>
        </is>
      </c>
      <c r="G72" s="57">
        <f>IFERROR(INDEX(Contacts!$E$2:$E$3000,MATCH(F72,Contacts!$A$2:$A$3000,0)),"")</f>
        <v/>
      </c>
      <c r="H72" s="57" t="inlineStr">
        <is>
          <t>U005</t>
        </is>
      </c>
      <c r="I72" s="57">
        <f>IFERROR(INDEX(Commerciaux!$D$2:$D$3000,MATCH(H72,Commerciaux!$A$2:$A$3000,0)),"")</f>
        <v/>
      </c>
      <c r="J72" s="57" t="inlineStr">
        <is>
          <t>Relance proposition</t>
        </is>
      </c>
      <c r="K72" s="40" t="inlineStr">
        <is>
          <t>Appel de relance sur la dernière proposition. Guillaume Petit demande quelques jours pour consolider les retours internes.</t>
        </is>
      </c>
      <c r="L72" s="57" t="inlineStr">
        <is>
          <t>Neutre</t>
        </is>
      </c>
      <c r="M72" s="57" t="n"/>
      <c r="N72" s="57" t="n"/>
      <c r="O72" s="58" t="n"/>
      <c r="P72" s="60" t="n">
        <v>10</v>
      </c>
      <c r="Q72" s="57" t="n"/>
    </row>
    <row r="73" ht="15" customHeight="1" s="34">
      <c r="A73" s="57" t="inlineStr">
        <is>
          <t>A0072</t>
        </is>
      </c>
      <c r="B73" s="58" t="n">
        <v>45929</v>
      </c>
      <c r="C73" s="57" t="inlineStr">
        <is>
          <t>Appel</t>
        </is>
      </c>
      <c r="D73" s="57" t="inlineStr">
        <is>
          <t>E021</t>
        </is>
      </c>
      <c r="E73" s="57">
        <f>IFERROR(INDEX(Entreprises!$B$2:$B$3000,MATCH(D73,Entreprises!$A$2:$A$3000,0)),"")</f>
        <v/>
      </c>
      <c r="F73" s="57" t="inlineStr">
        <is>
          <t>C034</t>
        </is>
      </c>
      <c r="G73" s="57">
        <f>IFERROR(INDEX(Contacts!$E$2:$E$3000,MATCH(F73,Contacts!$A$2:$A$3000,0)),"")</f>
        <v/>
      </c>
      <c r="H73" s="57" t="inlineStr">
        <is>
          <t>U005</t>
        </is>
      </c>
      <c r="I73" s="57">
        <f>IFERROR(INDEX(Commerciaux!$D$2:$D$3000,MATCH(H73,Commerciaux!$A$2:$A$3000,0)),"")</f>
        <v/>
      </c>
      <c r="J73" s="57" t="inlineStr">
        <is>
          <t>Suivi de livraison</t>
        </is>
      </c>
      <c r="K73" s="40" t="inlineStr">
        <is>
          <t>Appel de suivi après la dernière livraison. Thierry Lacroix confirme la conformité des lots reçus.</t>
        </is>
      </c>
      <c r="L73" s="57" t="inlineStr">
        <is>
          <t>Neutre</t>
        </is>
      </c>
      <c r="M73" s="57" t="n"/>
      <c r="N73" s="57" t="n"/>
      <c r="O73" s="58" t="n"/>
      <c r="P73" s="60" t="n">
        <v>15</v>
      </c>
      <c r="Q73" s="57" t="n"/>
    </row>
    <row r="74" ht="23.85" customHeight="1" s="34">
      <c r="A74" s="57" t="inlineStr">
        <is>
          <t>A0073</t>
        </is>
      </c>
      <c r="B74" s="58" t="n">
        <v>45930</v>
      </c>
      <c r="C74" s="57" t="inlineStr">
        <is>
          <t>Visite terrain</t>
        </is>
      </c>
      <c r="D74" s="57" t="inlineStr">
        <is>
          <t>E028</t>
        </is>
      </c>
      <c r="E74" s="57">
        <f>IFERROR(INDEX(Entreprises!$B$2:$B$3000,MATCH(D74,Entreprises!$A$2:$A$3000,0)),"")</f>
        <v/>
      </c>
      <c r="F74" s="57" t="inlineStr">
        <is>
          <t>C046</t>
        </is>
      </c>
      <c r="G74" s="57">
        <f>IFERROR(INDEX(Contacts!$E$2:$E$3000,MATCH(F74,Contacts!$A$2:$A$3000,0)),"")</f>
        <v/>
      </c>
      <c r="H74" s="57" t="inlineStr">
        <is>
          <t>U007</t>
        </is>
      </c>
      <c r="I74" s="57">
        <f>IFERROR(INDEX(Commerciaux!$D$2:$D$3000,MATCH(H74,Commerciaux!$A$2:$A$3000,0)),"")</f>
        <v/>
      </c>
      <c r="J74" s="57" t="inlineStr">
        <is>
          <t>Revue d'activité semestrielle</t>
        </is>
      </c>
      <c r="K74" s="40" t="inlineStr">
        <is>
          <t>Revue d'activité semestrielle avec Éric Lemoine. Satisfaction globale sur la qualité ; demande de visibilité sur l'évolution des prix des matières. Échange sur les étiquettes de la gamme export.</t>
        </is>
      </c>
      <c r="L74" s="57" t="inlineStr">
        <is>
          <t>À relancer</t>
        </is>
      </c>
      <c r="M74" s="57" t="n"/>
      <c r="N74" s="57" t="n"/>
      <c r="O74" s="58" t="n"/>
      <c r="P74" s="60" t="n">
        <v>60</v>
      </c>
      <c r="Q74" s="57" t="n"/>
    </row>
    <row r="75" ht="15" customHeight="1" s="34">
      <c r="A75" s="57" t="inlineStr">
        <is>
          <t>A0074</t>
        </is>
      </c>
      <c r="B75" s="58" t="n">
        <v>45933</v>
      </c>
      <c r="C75" s="57" t="inlineStr">
        <is>
          <t>Note</t>
        </is>
      </c>
      <c r="D75" s="57" t="inlineStr">
        <is>
          <t>E010</t>
        </is>
      </c>
      <c r="E75" s="57">
        <f>IFERROR(INDEX(Entreprises!$B$2:$B$3000,MATCH(D75,Entreprises!$A$2:$A$3000,0)),"")</f>
        <v/>
      </c>
      <c r="F75" s="57" t="inlineStr">
        <is>
          <t>C016</t>
        </is>
      </c>
      <c r="G75" s="57">
        <f>IFERROR(INDEX(Contacts!$E$2:$E$3000,MATCH(F75,Contacts!$A$2:$A$3000,0)),"")</f>
        <v/>
      </c>
      <c r="H75" s="57" t="inlineStr">
        <is>
          <t>U003</t>
        </is>
      </c>
      <c r="I75" s="57">
        <f>IFERROR(INDEX(Commerciaux!$D$2:$D$3000,MATCH(H75,Commerciaux!$A$2:$A$3000,0)),"")</f>
        <v/>
      </c>
      <c r="J75" s="57" t="inlineStr">
        <is>
          <t>Préparation négociation</t>
        </is>
      </c>
      <c r="K75" s="40" t="inlineStr">
        <is>
          <t>Note interne : préparer un comparatif de prix face à Kartéa Luxe avant la prochaine négociation.</t>
        </is>
      </c>
      <c r="L75" s="57" t="inlineStr">
        <is>
          <t>Neutre</t>
        </is>
      </c>
      <c r="M75" s="57" t="n"/>
      <c r="N75" s="57" t="n"/>
      <c r="O75" s="58" t="n"/>
      <c r="P75" s="60" t="n"/>
      <c r="Q75" s="57" t="n"/>
    </row>
    <row r="76" ht="15" customHeight="1" s="34">
      <c r="A76" s="57" t="inlineStr">
        <is>
          <t>A0075</t>
        </is>
      </c>
      <c r="B76" s="58" t="n">
        <v>45936</v>
      </c>
      <c r="C76" s="57" t="inlineStr">
        <is>
          <t>E-mail</t>
        </is>
      </c>
      <c r="D76" s="57" t="inlineStr">
        <is>
          <t>E008</t>
        </is>
      </c>
      <c r="E76" s="57">
        <f>IFERROR(INDEX(Entreprises!$B$2:$B$3000,MATCH(D76,Entreprises!$A$2:$A$3000,0)),"")</f>
        <v/>
      </c>
      <c r="F76" s="57" t="inlineStr">
        <is>
          <t>C013</t>
        </is>
      </c>
      <c r="G76" s="57">
        <f>IFERROR(INDEX(Contacts!$E$2:$E$3000,MATCH(F76,Contacts!$A$2:$A$3000,0)),"")</f>
        <v/>
      </c>
      <c r="H76" s="57" t="inlineStr">
        <is>
          <t>U003</t>
        </is>
      </c>
      <c r="I76" s="57">
        <f>IFERROR(INDEX(Commerciaux!$D$2:$D$3000,MATCH(H76,Commerciaux!$A$2:$A$3000,0)),"")</f>
        <v/>
      </c>
      <c r="J76" s="57" t="inlineStr">
        <is>
          <t>Envoi de fiche technique</t>
        </is>
      </c>
      <c r="K76" s="40" t="inlineStr">
        <is>
          <t>Envoi à Bastien Collet de la fiche technique et des certificats des étuis spiritueux luxe.</t>
        </is>
      </c>
      <c r="L76" s="57" t="inlineStr">
        <is>
          <t>Neutre</t>
        </is>
      </c>
      <c r="M76" s="57" t="n"/>
      <c r="N76" s="57" t="n"/>
      <c r="O76" s="58" t="n"/>
      <c r="P76" s="60" t="n"/>
      <c r="Q76" s="57" t="n"/>
    </row>
    <row r="77" ht="35.05" customHeight="1" s="34">
      <c r="A77" s="57" t="inlineStr">
        <is>
          <t>A0076</t>
        </is>
      </c>
      <c r="B77" s="58" t="n">
        <v>45939</v>
      </c>
      <c r="C77" s="57" t="inlineStr">
        <is>
          <t>Visite terrain</t>
        </is>
      </c>
      <c r="D77" s="57" t="inlineStr">
        <is>
          <t>E014</t>
        </is>
      </c>
      <c r="E77" s="57">
        <f>IFERROR(INDEX(Entreprises!$B$2:$B$3000,MATCH(D77,Entreprises!$A$2:$A$3000,0)),"")</f>
        <v/>
      </c>
      <c r="F77" s="57" t="inlineStr">
        <is>
          <t>C023</t>
        </is>
      </c>
      <c r="G77" s="57">
        <f>IFERROR(INDEX(Contacts!$E$2:$E$3000,MATCH(F77,Contacts!$A$2:$A$3000,0)),"")</f>
        <v/>
      </c>
      <c r="H77" s="57" t="inlineStr">
        <is>
          <t>U004</t>
        </is>
      </c>
      <c r="I77" s="57">
        <f>IFERROR(INDEX(Commerciaux!$D$2:$D$3000,MATCH(H77,Commerciaux!$A$2:$A$3000,0)),"")</f>
        <v/>
      </c>
      <c r="J77" s="57" t="inlineStr">
        <is>
          <t>Visite de la ligne de conditionnement</t>
        </is>
      </c>
      <c r="K77" s="40" t="inlineStr">
        <is>
          <t>Visite du site avec Émilie Gauthier et l'équipe de production. Observation de la ligne de conditionnement ; points d'amélioration identifiés sur les changements de format. Intérêt exprimé pour la suppression du polystyrène dans les calages.</t>
        </is>
      </c>
      <c r="L77" s="57" t="inlineStr">
        <is>
          <t>À relancer</t>
        </is>
      </c>
      <c r="M77" s="57" t="n"/>
      <c r="N77" s="57" t="inlineStr">
        <is>
          <t>Envoyer la documentation technique</t>
        </is>
      </c>
      <c r="O77" s="58" t="n">
        <v>45950</v>
      </c>
      <c r="P77" s="60" t="n">
        <v>60</v>
      </c>
      <c r="Q77" s="57" t="n"/>
    </row>
    <row r="78" ht="23.85" customHeight="1" s="34">
      <c r="A78" s="57" t="inlineStr">
        <is>
          <t>A0077</t>
        </is>
      </c>
      <c r="B78" s="58" t="n">
        <v>45940</v>
      </c>
      <c r="C78" s="57" t="inlineStr">
        <is>
          <t>Appel</t>
        </is>
      </c>
      <c r="D78" s="57" t="inlineStr">
        <is>
          <t>E009</t>
        </is>
      </c>
      <c r="E78" s="57">
        <f>IFERROR(INDEX(Entreprises!$B$2:$B$3000,MATCH(D78,Entreprises!$A$2:$A$3000,0)),"")</f>
        <v/>
      </c>
      <c r="F78" s="57" t="inlineStr">
        <is>
          <t>C015</t>
        </is>
      </c>
      <c r="G78" s="57">
        <f>IFERROR(INDEX(Contacts!$E$2:$E$3000,MATCH(F78,Contacts!$A$2:$A$3000,0)),"")</f>
        <v/>
      </c>
      <c r="H78" s="57" t="inlineStr">
        <is>
          <t>U003</t>
        </is>
      </c>
      <c r="I78" s="57">
        <f>IFERROR(INDEX(Commerciaux!$D$2:$D$3000,MATCH(H78,Commerciaux!$A$2:$A$3000,0)),"")</f>
        <v/>
      </c>
      <c r="J78" s="57" t="inlineStr">
        <is>
          <t>Ajustement de commande</t>
        </is>
      </c>
      <c r="K78" s="40" t="inlineStr">
        <is>
          <t>Appel de Pauline Henry pour ajuster les quantités de la prochaine commande d'étuis spiritueux luxe. Modification prise en compte.</t>
        </is>
      </c>
      <c r="L78" s="57" t="inlineStr">
        <is>
          <t>Positif</t>
        </is>
      </c>
      <c r="M78" s="57" t="n"/>
      <c r="N78" s="57" t="n"/>
      <c r="O78" s="58" t="n"/>
      <c r="P78" s="60" t="n">
        <v>5</v>
      </c>
      <c r="Q78" s="57" t="n"/>
    </row>
    <row r="79" ht="23.85" customHeight="1" s="34">
      <c r="A79" s="57" t="inlineStr">
        <is>
          <t>A0078</t>
        </is>
      </c>
      <c r="B79" s="58" t="n">
        <v>45940</v>
      </c>
      <c r="C79" s="57" t="inlineStr">
        <is>
          <t>Réunion visio</t>
        </is>
      </c>
      <c r="D79" s="57" t="inlineStr">
        <is>
          <t>E010</t>
        </is>
      </c>
      <c r="E79" s="57">
        <f>IFERROR(INDEX(Entreprises!$B$2:$B$3000,MATCH(D79,Entreprises!$A$2:$A$3000,0)),"")</f>
        <v/>
      </c>
      <c r="F79" s="57" t="inlineStr">
        <is>
          <t>C016</t>
        </is>
      </c>
      <c r="G79" s="57">
        <f>IFERROR(INDEX(Contacts!$E$2:$E$3000,MATCH(F79,Contacts!$A$2:$A$3000,0)),"")</f>
        <v/>
      </c>
      <c r="H79" s="57" t="inlineStr">
        <is>
          <t>U003</t>
        </is>
      </c>
      <c r="I79" s="57">
        <f>IFERROR(INDEX(Commerciaux!$D$2:$D$3000,MATCH(H79,Commerciaux!$A$2:$A$3000,0)),"")</f>
        <v/>
      </c>
      <c r="J79" s="57" t="inlineStr">
        <is>
          <t>Cadrage du besoin</t>
        </is>
      </c>
      <c r="K79" s="40" t="inlineStr">
        <is>
          <t>Réunion Teams avec Damien Royer pour cadrer le besoin concernant les coffrets premium 2027. Liste des prérequis techniques partagée.</t>
        </is>
      </c>
      <c r="L79" s="57" t="inlineStr">
        <is>
          <t>Neutre</t>
        </is>
      </c>
      <c r="M79" s="57" t="inlineStr">
        <is>
          <t>T016</t>
        </is>
      </c>
      <c r="N79" s="57" t="n"/>
      <c r="O79" s="58" t="n"/>
      <c r="P79" s="60" t="n">
        <v>60</v>
      </c>
      <c r="Q79" s="57" t="n"/>
    </row>
    <row r="80" ht="23.85" customHeight="1" s="34">
      <c r="A80" s="57" t="inlineStr">
        <is>
          <t>A0079</t>
        </is>
      </c>
      <c r="B80" s="58" t="n">
        <v>45943</v>
      </c>
      <c r="C80" s="57" t="inlineStr">
        <is>
          <t>E-mail</t>
        </is>
      </c>
      <c r="D80" s="57" t="inlineStr">
        <is>
          <t>E008</t>
        </is>
      </c>
      <c r="E80" s="57">
        <f>IFERROR(INDEX(Entreprises!$B$2:$B$3000,MATCH(D80,Entreprises!$A$2:$A$3000,0)),"")</f>
        <v/>
      </c>
      <c r="F80" s="57" t="inlineStr">
        <is>
          <t>C012</t>
        </is>
      </c>
      <c r="G80" s="57">
        <f>IFERROR(INDEX(Contacts!$E$2:$E$3000,MATCH(F80,Contacts!$A$2:$A$3000,0)),"")</f>
        <v/>
      </c>
      <c r="H80" s="57" t="inlineStr">
        <is>
          <t>U003</t>
        </is>
      </c>
      <c r="I80" s="57">
        <f>IFERROR(INDEX(Commerciaux!$D$2:$D$3000,MATCH(H80,Commerciaux!$A$2:$A$3000,0)),"")</f>
        <v/>
      </c>
      <c r="J80" s="57" t="inlineStr">
        <is>
          <t>Envoi de la grille tarifaire</t>
        </is>
      </c>
      <c r="K80" s="40" t="inlineStr">
        <is>
          <t>Envoi à Marie-Laure Rivière de la grille tarifaire actualisée, avec rappel des conditions de paiement (60 jours).</t>
        </is>
      </c>
      <c r="L80" s="57" t="inlineStr">
        <is>
          <t>Neutre</t>
        </is>
      </c>
      <c r="M80" s="57" t="n"/>
      <c r="N80" s="57" t="n"/>
      <c r="O80" s="58" t="n"/>
      <c r="P80" s="60" t="n"/>
      <c r="Q80" s="57" t="n"/>
    </row>
    <row r="81" ht="23.85" customHeight="1" s="34">
      <c r="A81" s="57" t="inlineStr">
        <is>
          <t>A0080</t>
        </is>
      </c>
      <c r="B81" s="58" t="n">
        <v>45947</v>
      </c>
      <c r="C81" s="57" t="inlineStr">
        <is>
          <t>Appel</t>
        </is>
      </c>
      <c r="D81" s="57" t="inlineStr">
        <is>
          <t>E018</t>
        </is>
      </c>
      <c r="E81" s="57">
        <f>IFERROR(INDEX(Entreprises!$B$2:$B$3000,MATCH(D81,Entreprises!$A$2:$A$3000,0)),"")</f>
        <v/>
      </c>
      <c r="F81" s="57" t="inlineStr">
        <is>
          <t>C029</t>
        </is>
      </c>
      <c r="G81" s="57">
        <f>IFERROR(INDEX(Contacts!$E$2:$E$3000,MATCH(F81,Contacts!$A$2:$A$3000,0)),"")</f>
        <v/>
      </c>
      <c r="H81" s="57" t="inlineStr">
        <is>
          <t>U005</t>
        </is>
      </c>
      <c r="I81" s="57">
        <f>IFERROR(INDEX(Commerciaux!$D$2:$D$3000,MATCH(H81,Commerciaux!$A$2:$A$3000,0)),"")</f>
        <v/>
      </c>
      <c r="J81" s="57" t="inlineStr">
        <is>
          <t>Point d'avancement projet</t>
        </is>
      </c>
      <c r="K81" s="40" t="inlineStr">
        <is>
          <t>Échange téléphonique avec Guillaume Petit sur le calendrier concernant les étuis de l'édition limitée. Décision interne attendue dans les prochaines semaines.</t>
        </is>
      </c>
      <c r="L81" s="57" t="inlineStr">
        <is>
          <t>À relancer</t>
        </is>
      </c>
      <c r="M81" s="57" t="n"/>
      <c r="N81" s="57" t="n"/>
      <c r="O81" s="58" t="n"/>
      <c r="P81" s="60" t="n">
        <v>20</v>
      </c>
      <c r="Q81" s="57" t="n"/>
    </row>
    <row r="82" ht="23.85" customHeight="1" s="34">
      <c r="A82" s="57" t="inlineStr">
        <is>
          <t>A0081</t>
        </is>
      </c>
      <c r="B82" s="58" t="n">
        <v>45950</v>
      </c>
      <c r="C82" s="57" t="inlineStr">
        <is>
          <t>E-mail</t>
        </is>
      </c>
      <c r="D82" s="57" t="inlineStr">
        <is>
          <t>E007</t>
        </is>
      </c>
      <c r="E82" s="57">
        <f>IFERROR(INDEX(Entreprises!$B$2:$B$3000,MATCH(D82,Entreprises!$A$2:$A$3000,0)),"")</f>
        <v/>
      </c>
      <c r="F82" s="57" t="inlineStr">
        <is>
          <t>C011</t>
        </is>
      </c>
      <c r="G82" s="57">
        <f>IFERROR(INDEX(Contacts!$E$2:$E$3000,MATCH(F82,Contacts!$A$2:$A$3000,0)),"")</f>
        <v/>
      </c>
      <c r="H82" s="57" t="inlineStr">
        <is>
          <t>U002</t>
        </is>
      </c>
      <c r="I82" s="57">
        <f>IFERROR(INDEX(Commerciaux!$D$2:$D$3000,MATCH(H82,Commerciaux!$A$2:$A$3000,0)),"")</f>
        <v/>
      </c>
      <c r="J82" s="57" t="inlineStr">
        <is>
          <t>Envoi de la grille tarifaire</t>
        </is>
      </c>
      <c r="K82" s="40" t="inlineStr">
        <is>
          <t>Envoi à François Girard de la grille tarifaire actualisée, avec rappel des conditions de paiement (60 jours).</t>
        </is>
      </c>
      <c r="L82" s="57" t="inlineStr">
        <is>
          <t>Neutre</t>
        </is>
      </c>
      <c r="M82" s="57" t="n"/>
      <c r="N82" s="57" t="n"/>
      <c r="O82" s="58" t="n"/>
      <c r="P82" s="60" t="n"/>
      <c r="Q82" s="57" t="n"/>
    </row>
    <row r="83" ht="23.85" customHeight="1" s="34">
      <c r="A83" s="57" t="inlineStr">
        <is>
          <t>A0082</t>
        </is>
      </c>
      <c r="B83" s="58" t="n">
        <v>45951</v>
      </c>
      <c r="C83" s="57" t="inlineStr">
        <is>
          <t>Appel</t>
        </is>
      </c>
      <c r="D83" s="57" t="inlineStr">
        <is>
          <t>E003</t>
        </is>
      </c>
      <c r="E83" s="57">
        <f>IFERROR(INDEX(Entreprises!$B$2:$B$3000,MATCH(D83,Entreprises!$A$2:$A$3000,0)),"")</f>
        <v/>
      </c>
      <c r="F83" s="57" t="inlineStr">
        <is>
          <t>C006</t>
        </is>
      </c>
      <c r="G83" s="57">
        <f>IFERROR(INDEX(Contacts!$E$2:$E$3000,MATCH(F83,Contacts!$A$2:$A$3000,0)),"")</f>
        <v/>
      </c>
      <c r="H83" s="57" t="inlineStr">
        <is>
          <t>U002</t>
        </is>
      </c>
      <c r="I83" s="57">
        <f>IFERROR(INDEX(Commerciaux!$D$2:$D$3000,MATCH(H83,Commerciaux!$A$2:$A$3000,0)),"")</f>
        <v/>
      </c>
      <c r="J83" s="57" t="inlineStr">
        <is>
          <t>Ajustement de commande</t>
        </is>
      </c>
      <c r="K83" s="40" t="inlineStr">
        <is>
          <t>Appel de Olivier Chen pour ajuster les quantités de la prochaine commande de notices pharmaceutiques pliées. Modification prise en compte.</t>
        </is>
      </c>
      <c r="L83" s="57" t="inlineStr">
        <is>
          <t>À relancer</t>
        </is>
      </c>
      <c r="M83" s="57" t="n"/>
      <c r="N83" s="57" t="inlineStr">
        <is>
          <t>Planifier une visite de site</t>
        </is>
      </c>
      <c r="O83" s="58" t="n">
        <v>45967</v>
      </c>
      <c r="P83" s="60" t="n">
        <v>30</v>
      </c>
      <c r="Q83" s="57" t="n"/>
    </row>
    <row r="84" ht="15" customHeight="1" s="34">
      <c r="A84" s="57" t="inlineStr">
        <is>
          <t>A0083</t>
        </is>
      </c>
      <c r="B84" s="58" t="n">
        <v>45953</v>
      </c>
      <c r="C84" s="57" t="inlineStr">
        <is>
          <t>Note</t>
        </is>
      </c>
      <c r="D84" s="57" t="inlineStr">
        <is>
          <t>E004</t>
        </is>
      </c>
      <c r="E84" s="57">
        <f>IFERROR(INDEX(Entreprises!$B$2:$B$3000,MATCH(D84,Entreprises!$A$2:$A$3000,0)),"")</f>
        <v/>
      </c>
      <c r="F84" s="57" t="inlineStr">
        <is>
          <t>C007</t>
        </is>
      </c>
      <c r="G84" s="57">
        <f>IFERROR(INDEX(Contacts!$E$2:$E$3000,MATCH(F84,Contacts!$A$2:$A$3000,0)),"")</f>
        <v/>
      </c>
      <c r="H84" s="57" t="inlineStr">
        <is>
          <t>U002</t>
        </is>
      </c>
      <c r="I84" s="57">
        <f>IFERROR(INDEX(Commerciaux!$D$2:$D$3000,MATCH(H84,Commerciaux!$A$2:$A$3000,0)),"")</f>
        <v/>
      </c>
      <c r="J84" s="57" t="inlineStr">
        <is>
          <t>Information organisation</t>
        </is>
      </c>
      <c r="K84" s="40" t="inlineStr">
        <is>
          <t>Note interne : Claire Fontaine a mentionné une réorganisation du service achats ; à surveiller.</t>
        </is>
      </c>
      <c r="L84" s="57" t="inlineStr">
        <is>
          <t>Neutre</t>
        </is>
      </c>
      <c r="M84" s="57" t="n"/>
      <c r="N84" s="57" t="n"/>
      <c r="O84" s="58" t="n"/>
      <c r="P84" s="60" t="n"/>
      <c r="Q84" s="57" t="n"/>
    </row>
    <row r="85" ht="23.85" customHeight="1" s="34">
      <c r="A85" s="57" t="inlineStr">
        <is>
          <t>A0084</t>
        </is>
      </c>
      <c r="B85" s="58" t="n">
        <v>45960</v>
      </c>
      <c r="C85" s="57" t="inlineStr">
        <is>
          <t>E-mail</t>
        </is>
      </c>
      <c r="D85" s="57" t="inlineStr">
        <is>
          <t>E030</t>
        </is>
      </c>
      <c r="E85" s="57">
        <f>IFERROR(INDEX(Entreprises!$B$2:$B$3000,MATCH(D85,Entreprises!$A$2:$A$3000,0)),"")</f>
        <v/>
      </c>
      <c r="F85" s="57" t="inlineStr">
        <is>
          <t>C049</t>
        </is>
      </c>
      <c r="G85" s="57">
        <f>IFERROR(INDEX(Contacts!$E$2:$E$3000,MATCH(F85,Contacts!$A$2:$A$3000,0)),"")</f>
        <v/>
      </c>
      <c r="H85" s="57" t="inlineStr">
        <is>
          <t>U007</t>
        </is>
      </c>
      <c r="I85" s="57">
        <f>IFERROR(INDEX(Commerciaux!$D$2:$D$3000,MATCH(H85,Commerciaux!$A$2:$A$3000,0)),"")</f>
        <v/>
      </c>
      <c r="J85" s="57" t="inlineStr">
        <is>
          <t>Envoi du planning</t>
        </is>
      </c>
      <c r="K85" s="40" t="inlineStr">
        <is>
          <t>Envoi à Nadia Haddad du planning prévisionnel et des points ouverts concernant les emballages sans plastique de la distribution électrique.</t>
        </is>
      </c>
      <c r="L85" s="57" t="inlineStr">
        <is>
          <t>Neutre</t>
        </is>
      </c>
      <c r="M85" s="57" t="n"/>
      <c r="N85" s="57" t="n"/>
      <c r="O85" s="58" t="n"/>
      <c r="P85" s="60" t="n"/>
      <c r="Q85" s="57" t="n"/>
    </row>
    <row r="86" ht="23.85" customHeight="1" s="34">
      <c r="A86" s="57" t="inlineStr">
        <is>
          <t>A0085</t>
        </is>
      </c>
      <c r="B86" s="58" t="n">
        <v>45961</v>
      </c>
      <c r="C86" s="57" t="inlineStr">
        <is>
          <t>Appel</t>
        </is>
      </c>
      <c r="D86" s="57" t="inlineStr">
        <is>
          <t>E024</t>
        </is>
      </c>
      <c r="E86" s="57">
        <f>IFERROR(INDEX(Entreprises!$B$2:$B$3000,MATCH(D86,Entreprises!$A$2:$A$3000,0)),"")</f>
        <v/>
      </c>
      <c r="F86" s="57" t="inlineStr">
        <is>
          <t>C039</t>
        </is>
      </c>
      <c r="G86" s="57">
        <f>IFERROR(INDEX(Contacts!$E$2:$E$3000,MATCH(F86,Contacts!$A$2:$A$3000,0)),"")</f>
        <v/>
      </c>
      <c r="H86" s="57" t="inlineStr">
        <is>
          <t>U006</t>
        </is>
      </c>
      <c r="I86" s="57">
        <f>IFERROR(INDEX(Commerciaux!$D$2:$D$3000,MATCH(H86,Commerciaux!$A$2:$A$3000,0)),"")</f>
        <v/>
      </c>
      <c r="J86" s="57" t="inlineStr">
        <is>
          <t>Relance proposition</t>
        </is>
      </c>
      <c r="K86" s="40" t="inlineStr">
        <is>
          <t>Appel de relance sur la dernière proposition. Agnès Picard demande quelques jours pour consolider les retours internes.</t>
        </is>
      </c>
      <c r="L86" s="57" t="inlineStr">
        <is>
          <t>Neutre</t>
        </is>
      </c>
      <c r="M86" s="57" t="n"/>
      <c r="N86" s="57" t="inlineStr">
        <is>
          <t>Transmettre des échantillons</t>
        </is>
      </c>
      <c r="O86" s="58" t="n">
        <v>45973</v>
      </c>
      <c r="P86" s="60" t="n">
        <v>30</v>
      </c>
      <c r="Q86" s="57" t="n"/>
    </row>
    <row r="87" ht="23.85" customHeight="1" s="34">
      <c r="A87" s="57" t="inlineStr">
        <is>
          <t>A0086</t>
        </is>
      </c>
      <c r="B87" s="58" t="n">
        <v>45975</v>
      </c>
      <c r="C87" s="57" t="inlineStr">
        <is>
          <t>Visite terrain</t>
        </is>
      </c>
      <c r="D87" s="57" t="inlineStr">
        <is>
          <t>E018</t>
        </is>
      </c>
      <c r="E87" s="57">
        <f>IFERROR(INDEX(Entreprises!$B$2:$B$3000,MATCH(D87,Entreprises!$A$2:$A$3000,0)),"")</f>
        <v/>
      </c>
      <c r="F87" s="57" t="inlineStr">
        <is>
          <t>C029</t>
        </is>
      </c>
      <c r="G87" s="57">
        <f>IFERROR(INDEX(Contacts!$E$2:$E$3000,MATCH(F87,Contacts!$A$2:$A$3000,0)),"")</f>
        <v/>
      </c>
      <c r="H87" s="57" t="inlineStr">
        <is>
          <t>U005</t>
        </is>
      </c>
      <c r="I87" s="57">
        <f>IFERROR(INDEX(Commerciaux!$D$2:$D$3000,MATCH(H87,Commerciaux!$A$2:$A$3000,0)),"")</f>
        <v/>
      </c>
      <c r="J87" s="57" t="inlineStr">
        <is>
          <t>Revue d'activité semestrielle</t>
        </is>
      </c>
      <c r="K87" s="40" t="inlineStr">
        <is>
          <t>Revue d'activité semestrielle avec Guillaume Petit. Satisfaction globale sur la qualité ; demande de visibilité sur l'évolution des prix des matières. Échange sur les étuis de l'édition limitée.</t>
        </is>
      </c>
      <c r="L87" s="57" t="inlineStr">
        <is>
          <t>Positif</t>
        </is>
      </c>
      <c r="M87" s="57" t="n"/>
      <c r="N87" s="57" t="n"/>
      <c r="O87" s="58" t="n"/>
      <c r="P87" s="60" t="n">
        <v>60</v>
      </c>
      <c r="Q87" s="57" t="n"/>
    </row>
    <row r="88" ht="23.85" customHeight="1" s="34">
      <c r="A88" s="57" t="inlineStr">
        <is>
          <t>A0087</t>
        </is>
      </c>
      <c r="B88" s="58" t="n">
        <v>45978</v>
      </c>
      <c r="C88" s="57" t="inlineStr">
        <is>
          <t>Visite terrain</t>
        </is>
      </c>
      <c r="D88" s="57" t="inlineStr">
        <is>
          <t>E026</t>
        </is>
      </c>
      <c r="E88" s="57">
        <f>IFERROR(INDEX(Entreprises!$B$2:$B$3000,MATCH(D88,Entreprises!$A$2:$A$3000,0)),"")</f>
        <v/>
      </c>
      <c r="F88" s="57" t="inlineStr">
        <is>
          <t>C042</t>
        </is>
      </c>
      <c r="G88" s="57">
        <f>IFERROR(INDEX(Contacts!$E$2:$E$3000,MATCH(F88,Contacts!$A$2:$A$3000,0)),"")</f>
        <v/>
      </c>
      <c r="H88" s="57" t="inlineStr">
        <is>
          <t>U007</t>
        </is>
      </c>
      <c r="I88" s="57">
        <f>IFERROR(INDEX(Commerciaux!$D$2:$D$3000,MATCH(H88,Commerciaux!$A$2:$A$3000,0)),"")</f>
        <v/>
      </c>
      <c r="J88" s="57" t="inlineStr">
        <is>
          <t>Présentation des nouveautés 2025</t>
        </is>
      </c>
      <c r="K88" s="40" t="inlineStr">
        <is>
          <t>Présentation des nouveautés 2025 à Véronique Bertin, notamment les étiquettes adhésives haute définition. Accueil favorable et demande d'échantillons.</t>
        </is>
      </c>
      <c r="L88" s="57" t="inlineStr">
        <is>
          <t>Négatif</t>
        </is>
      </c>
      <c r="M88" s="57" t="n"/>
      <c r="N88" s="57" t="inlineStr">
        <is>
          <t>Envoyer la documentation technique</t>
        </is>
      </c>
      <c r="O88" s="58" t="n">
        <v>45999</v>
      </c>
      <c r="P88" s="60" t="n">
        <v>90</v>
      </c>
      <c r="Q88" s="57" t="n"/>
    </row>
    <row r="89" ht="23.85" customHeight="1" s="34">
      <c r="A89" s="57" t="inlineStr">
        <is>
          <t>A0088</t>
        </is>
      </c>
      <c r="B89" s="58" t="n">
        <v>45979</v>
      </c>
      <c r="C89" s="57" t="inlineStr">
        <is>
          <t>Appel</t>
        </is>
      </c>
      <c r="D89" s="57" t="inlineStr">
        <is>
          <t>E026</t>
        </is>
      </c>
      <c r="E89" s="57">
        <f>IFERROR(INDEX(Entreprises!$B$2:$B$3000,MATCH(D89,Entreprises!$A$2:$A$3000,0)),"")</f>
        <v/>
      </c>
      <c r="F89" s="57" t="inlineStr">
        <is>
          <t>C043</t>
        </is>
      </c>
      <c r="G89" s="57">
        <f>IFERROR(INDEX(Contacts!$E$2:$E$3000,MATCH(F89,Contacts!$A$2:$A$3000,0)),"")</f>
        <v/>
      </c>
      <c r="H89" s="57" t="inlineStr">
        <is>
          <t>U007</t>
        </is>
      </c>
      <c r="I89" s="57">
        <f>IFERROR(INDEX(Commerciaux!$D$2:$D$3000,MATCH(H89,Commerciaux!$A$2:$A$3000,0)),"")</f>
        <v/>
      </c>
      <c r="J89" s="57" t="inlineStr">
        <is>
          <t>Point d'avancement projet</t>
        </is>
      </c>
      <c r="K89" s="40" t="inlineStr">
        <is>
          <t>Échange téléphonique avec Samuel Robin sur le calendrier concernant la réduction des emballages secondaires. Décision interne attendue dans les prochaines semaines.</t>
        </is>
      </c>
      <c r="L89" s="57" t="inlineStr">
        <is>
          <t>Neutre</t>
        </is>
      </c>
      <c r="M89" s="57" t="n"/>
      <c r="N89" s="57" t="n"/>
      <c r="O89" s="58" t="n"/>
      <c r="P89" s="60" t="n">
        <v>10</v>
      </c>
      <c r="Q89" s="57" t="n"/>
    </row>
    <row r="90" ht="23.85" customHeight="1" s="34">
      <c r="A90" s="57" t="inlineStr">
        <is>
          <t>A0089</t>
        </is>
      </c>
      <c r="B90" s="58" t="n">
        <v>45986</v>
      </c>
      <c r="C90" s="57" t="inlineStr">
        <is>
          <t>Appel</t>
        </is>
      </c>
      <c r="D90" s="57" t="inlineStr">
        <is>
          <t>E024</t>
        </is>
      </c>
      <c r="E90" s="57">
        <f>IFERROR(INDEX(Entreprises!$B$2:$B$3000,MATCH(D90,Entreprises!$A$2:$A$3000,0)),"")</f>
        <v/>
      </c>
      <c r="F90" s="57" t="inlineStr">
        <is>
          <t>C039</t>
        </is>
      </c>
      <c r="G90" s="57">
        <f>IFERROR(INDEX(Contacts!$E$2:$E$3000,MATCH(F90,Contacts!$A$2:$A$3000,0)),"")</f>
        <v/>
      </c>
      <c r="H90" s="57" t="inlineStr">
        <is>
          <t>U006</t>
        </is>
      </c>
      <c r="I90" s="57">
        <f>IFERROR(INDEX(Commerciaux!$D$2:$D$3000,MATCH(H90,Commerciaux!$A$2:$A$3000,0)),"")</f>
        <v/>
      </c>
      <c r="J90" s="57" t="inlineStr">
        <is>
          <t>Point d'avancement projet</t>
        </is>
      </c>
      <c r="K90" s="40" t="inlineStr">
        <is>
          <t>Échange téléphonique avec Agnès Picard sur le calendrier concernant l'appel d'offres notices et étuis. Décision interne attendue dans les prochaines semaines.</t>
        </is>
      </c>
      <c r="L90" s="57" t="inlineStr">
        <is>
          <t>Positif</t>
        </is>
      </c>
      <c r="M90" s="57" t="inlineStr">
        <is>
          <t>T038</t>
        </is>
      </c>
      <c r="N90" s="57" t="n"/>
      <c r="O90" s="58" t="n"/>
      <c r="P90" s="60" t="n">
        <v>5</v>
      </c>
      <c r="Q90" s="57" t="n"/>
    </row>
    <row r="91" ht="23.85" customHeight="1" s="34">
      <c r="A91" s="57" t="inlineStr">
        <is>
          <t>A0090</t>
        </is>
      </c>
      <c r="B91" s="58" t="n">
        <v>45988</v>
      </c>
      <c r="C91" s="57" t="inlineStr">
        <is>
          <t>Appel</t>
        </is>
      </c>
      <c r="D91" s="57" t="inlineStr">
        <is>
          <t>E019</t>
        </is>
      </c>
      <c r="E91" s="57">
        <f>IFERROR(INDEX(Entreprises!$B$2:$B$3000,MATCH(D91,Entreprises!$A$2:$A$3000,0)),"")</f>
        <v/>
      </c>
      <c r="F91" s="57" t="inlineStr">
        <is>
          <t>C031</t>
        </is>
      </c>
      <c r="G91" s="57">
        <f>IFERROR(INDEX(Contacts!$E$2:$E$3000,MATCH(F91,Contacts!$A$2:$A$3000,0)),"")</f>
        <v/>
      </c>
      <c r="H91" s="57" t="inlineStr">
        <is>
          <t>U005</t>
        </is>
      </c>
      <c r="I91" s="57">
        <f>IFERROR(INDEX(Commerciaux!$D$2:$D$3000,MATCH(H91,Commerciaux!$A$2:$A$3000,0)),"")</f>
        <v/>
      </c>
      <c r="J91" s="57" t="inlineStr">
        <is>
          <t>Relance proposition</t>
        </is>
      </c>
      <c r="K91" s="40" t="inlineStr">
        <is>
          <t>Appel de relance sur la dernière proposition. Benoît Carrière demande quelques jours pour consolider les retours internes.</t>
        </is>
      </c>
      <c r="L91" s="57" t="inlineStr">
        <is>
          <t>À relancer</t>
        </is>
      </c>
      <c r="M91" s="57" t="n"/>
      <c r="N91" s="57" t="n"/>
      <c r="O91" s="58" t="n"/>
      <c r="P91" s="60" t="n">
        <v>20</v>
      </c>
      <c r="Q91" s="57" t="n"/>
    </row>
    <row r="92" ht="35.05" customHeight="1" s="34">
      <c r="A92" s="57" t="inlineStr">
        <is>
          <t>A0091</t>
        </is>
      </c>
      <c r="B92" s="58" t="n">
        <v>45989</v>
      </c>
      <c r="C92" s="57" t="inlineStr">
        <is>
          <t>Visite terrain</t>
        </is>
      </c>
      <c r="D92" s="57" t="inlineStr">
        <is>
          <t>E023</t>
        </is>
      </c>
      <c r="E92" s="57">
        <f>IFERROR(INDEX(Entreprises!$B$2:$B$3000,MATCH(D92,Entreprises!$A$2:$A$3000,0)),"")</f>
        <v/>
      </c>
      <c r="F92" s="57" t="inlineStr">
        <is>
          <t>C038</t>
        </is>
      </c>
      <c r="G92" s="57">
        <f>IFERROR(INDEX(Contacts!$E$2:$E$3000,MATCH(F92,Contacts!$A$2:$A$3000,0)),"")</f>
        <v/>
      </c>
      <c r="H92" s="57" t="inlineStr">
        <is>
          <t>U006</t>
        </is>
      </c>
      <c r="I92" s="57">
        <f>IFERROR(INDEX(Commerciaux!$D$2:$D$3000,MATCH(H92,Commerciaux!$A$2:$A$3000,0)),"")</f>
        <v/>
      </c>
      <c r="J92" s="57" t="inlineStr">
        <is>
          <t>Visite de suivi</t>
        </is>
      </c>
      <c r="K92" s="40" t="inlineStr">
        <is>
          <t>Visite de suivi avec David Nguyen. Revue des commandes en cours et des prévisions du trimestre sur les étuis carton pharmaceutiques imprimés. Pas de difficulté particulière signalée. David Nguyen évoque les étiquettes d'inviolabilité sur toute la gamme.</t>
        </is>
      </c>
      <c r="L92" s="57" t="inlineStr">
        <is>
          <t>Positif</t>
        </is>
      </c>
      <c r="M92" s="57" t="n"/>
      <c r="N92" s="57" t="n"/>
      <c r="O92" s="58" t="n"/>
      <c r="P92" s="60" t="n">
        <v>60</v>
      </c>
      <c r="Q92" s="57" t="n"/>
    </row>
    <row r="93" ht="23.85" customHeight="1" s="34">
      <c r="A93" s="57" t="inlineStr">
        <is>
          <t>A0092</t>
        </is>
      </c>
      <c r="B93" s="58" t="n">
        <v>45992</v>
      </c>
      <c r="C93" s="57" t="inlineStr">
        <is>
          <t>Réunion visio</t>
        </is>
      </c>
      <c r="D93" s="57" t="inlineStr">
        <is>
          <t>E018</t>
        </is>
      </c>
      <c r="E93" s="57">
        <f>IFERROR(INDEX(Entreprises!$B$2:$B$3000,MATCH(D93,Entreprises!$A$2:$A$3000,0)),"")</f>
        <v/>
      </c>
      <c r="F93" s="57" t="inlineStr">
        <is>
          <t>C029</t>
        </is>
      </c>
      <c r="G93" s="57">
        <f>IFERROR(INDEX(Contacts!$E$2:$E$3000,MATCH(F93,Contacts!$A$2:$A$3000,0)),"")</f>
        <v/>
      </c>
      <c r="H93" s="57" t="inlineStr">
        <is>
          <t>U005</t>
        </is>
      </c>
      <c r="I93" s="57">
        <f>IFERROR(INDEX(Commerciaux!$D$2:$D$3000,MATCH(H93,Commerciaux!$A$2:$A$3000,0)),"")</f>
        <v/>
      </c>
      <c r="J93" s="57" t="inlineStr">
        <is>
          <t>Cadrage du besoin</t>
        </is>
      </c>
      <c r="K93" s="40" t="inlineStr">
        <is>
          <t>Réunion Teams avec Guillaume Petit pour cadrer le besoin concernant les étuis de l'édition limitée. Liste des prérequis techniques partagée.</t>
        </is>
      </c>
      <c r="L93" s="57" t="inlineStr">
        <is>
          <t>Positif</t>
        </is>
      </c>
      <c r="M93" s="57" t="n"/>
      <c r="N93" s="57" t="inlineStr">
        <is>
          <t>Transmettre des échantillons</t>
        </is>
      </c>
      <c r="O93" s="58" t="n">
        <v>46006</v>
      </c>
      <c r="P93" s="60" t="n">
        <v>45</v>
      </c>
      <c r="Q93" s="57" t="n"/>
    </row>
    <row r="94" ht="23.85" customHeight="1" s="34">
      <c r="A94" s="57" t="inlineStr">
        <is>
          <t>A0093</t>
        </is>
      </c>
      <c r="B94" s="58" t="n">
        <v>45996</v>
      </c>
      <c r="C94" s="57" t="inlineStr">
        <is>
          <t>E-mail</t>
        </is>
      </c>
      <c r="D94" s="57" t="inlineStr">
        <is>
          <t>E013</t>
        </is>
      </c>
      <c r="E94" s="57">
        <f>IFERROR(INDEX(Entreprises!$B$2:$B$3000,MATCH(D94,Entreprises!$A$2:$A$3000,0)),"")</f>
        <v/>
      </c>
      <c r="F94" s="57" t="inlineStr">
        <is>
          <t>C022</t>
        </is>
      </c>
      <c r="G94" s="57">
        <f>IFERROR(INDEX(Contacts!$E$2:$E$3000,MATCH(F94,Contacts!$A$2:$A$3000,0)),"")</f>
        <v/>
      </c>
      <c r="H94" s="57" t="inlineStr">
        <is>
          <t>U004</t>
        </is>
      </c>
      <c r="I94" s="57">
        <f>IFERROR(INDEX(Commerciaux!$D$2:$D$3000,MATCH(H94,Commerciaux!$A$2:$A$3000,0)),"")</f>
        <v/>
      </c>
      <c r="J94" s="57" t="inlineStr">
        <is>
          <t>Envoi du planning</t>
        </is>
      </c>
      <c r="K94" s="40" t="inlineStr">
        <is>
          <t>Envoi à Yannick Morin du planning prévisionnel et des points ouverts concernant le passage à des étuis en carton recyclé.</t>
        </is>
      </c>
      <c r="L94" s="57" t="inlineStr">
        <is>
          <t>Neutre</t>
        </is>
      </c>
      <c r="M94" s="57" t="n"/>
      <c r="N94" s="57" t="n"/>
      <c r="O94" s="58" t="n"/>
      <c r="P94" s="60" t="n"/>
      <c r="Q94" s="57" t="n"/>
    </row>
    <row r="95" ht="35.05" customHeight="1" s="34">
      <c r="A95" s="57" t="inlineStr">
        <is>
          <t>A0094</t>
        </is>
      </c>
      <c r="B95" s="58" t="n">
        <v>46006</v>
      </c>
      <c r="C95" s="57" t="inlineStr">
        <is>
          <t>Visite terrain</t>
        </is>
      </c>
      <c r="D95" s="57" t="inlineStr">
        <is>
          <t>E007</t>
        </is>
      </c>
      <c r="E95" s="57">
        <f>IFERROR(INDEX(Entreprises!$B$2:$B$3000,MATCH(D95,Entreprises!$A$2:$A$3000,0)),"")</f>
        <v/>
      </c>
      <c r="F95" s="57" t="inlineStr">
        <is>
          <t>C011</t>
        </is>
      </c>
      <c r="G95" s="57">
        <f>IFERROR(INDEX(Contacts!$E$2:$E$3000,MATCH(F95,Contacts!$A$2:$A$3000,0)),"")</f>
        <v/>
      </c>
      <c r="H95" s="57" t="inlineStr">
        <is>
          <t>U002</t>
        </is>
      </c>
      <c r="I95" s="57">
        <f>IFERROR(INDEX(Commerciaux!$D$2:$D$3000,MATCH(H95,Commerciaux!$A$2:$A$3000,0)),"")</f>
        <v/>
      </c>
      <c r="J95" s="57" t="inlineStr">
        <is>
          <t>Visite de suivi</t>
        </is>
      </c>
      <c r="K95" s="40" t="inlineStr">
        <is>
          <t>Visite de suivi avec François Girard. Revue des commandes en cours et des prévisions du trimestre sur les étiquettes adhésives haute définition. Pas de difficulté particulière signalée. François Girard évoque l'harmonisation des étiquettes logistiques entre sites.</t>
        </is>
      </c>
      <c r="L95" s="57" t="inlineStr">
        <is>
          <t>Neutre</t>
        </is>
      </c>
      <c r="M95" s="57" t="n"/>
      <c r="N95" s="57" t="inlineStr">
        <is>
          <t>Relancer pour obtenir un retour</t>
        </is>
      </c>
      <c r="O95" s="58" t="n">
        <v>46024</v>
      </c>
      <c r="P95" s="60" t="n">
        <v>60</v>
      </c>
      <c r="Q95" s="57" t="n"/>
    </row>
    <row r="96" ht="15" customHeight="1" s="34">
      <c r="A96" s="57" t="inlineStr">
        <is>
          <t>A0095</t>
        </is>
      </c>
      <c r="B96" s="58" t="n">
        <v>46006</v>
      </c>
      <c r="C96" s="57" t="inlineStr">
        <is>
          <t>E-mail</t>
        </is>
      </c>
      <c r="D96" s="57" t="inlineStr">
        <is>
          <t>E013</t>
        </is>
      </c>
      <c r="E96" s="57">
        <f>IFERROR(INDEX(Entreprises!$B$2:$B$3000,MATCH(D96,Entreprises!$A$2:$A$3000,0)),"")</f>
        <v/>
      </c>
      <c r="F96" s="57" t="inlineStr">
        <is>
          <t>C021</t>
        </is>
      </c>
      <c r="G96" s="57">
        <f>IFERROR(INDEX(Contacts!$E$2:$E$3000,MATCH(F96,Contacts!$A$2:$A$3000,0)),"")</f>
        <v/>
      </c>
      <c r="H96" s="57" t="inlineStr">
        <is>
          <t>U004</t>
        </is>
      </c>
      <c r="I96" s="57">
        <f>IFERROR(INDEX(Commerciaux!$D$2:$D$3000,MATCH(H96,Commerciaux!$A$2:$A$3000,0)),"")</f>
        <v/>
      </c>
      <c r="J96" s="57" t="inlineStr">
        <is>
          <t>Envoi de fiche technique</t>
        </is>
      </c>
      <c r="K96" s="40" t="inlineStr">
        <is>
          <t>Envoi à Christine Blanc de la fiche technique et des certificats des notices pharmaceutiques pliées.</t>
        </is>
      </c>
      <c r="L96" s="57" t="inlineStr">
        <is>
          <t>À relancer</t>
        </is>
      </c>
      <c r="M96" s="57" t="n"/>
      <c r="N96" s="57" t="n"/>
      <c r="O96" s="58" t="n"/>
      <c r="P96" s="60" t="n"/>
      <c r="Q96" s="57" t="n"/>
    </row>
    <row r="97" ht="23.85" customHeight="1" s="34">
      <c r="A97" s="57" t="inlineStr">
        <is>
          <t>A0096</t>
        </is>
      </c>
      <c r="B97" s="58" t="n">
        <v>46006</v>
      </c>
      <c r="C97" s="57" t="inlineStr">
        <is>
          <t>E-mail</t>
        </is>
      </c>
      <c r="D97" s="57" t="inlineStr">
        <is>
          <t>E025</t>
        </is>
      </c>
      <c r="E97" s="57">
        <f>IFERROR(INDEX(Entreprises!$B$2:$B$3000,MATCH(D97,Entreprises!$A$2:$A$3000,0)),"")</f>
        <v/>
      </c>
      <c r="F97" s="57" t="inlineStr">
        <is>
          <t>C040</t>
        </is>
      </c>
      <c r="G97" s="57">
        <f>IFERROR(INDEX(Contacts!$E$2:$E$3000,MATCH(F97,Contacts!$A$2:$A$3000,0)),"")</f>
        <v/>
      </c>
      <c r="H97" s="57" t="inlineStr">
        <is>
          <t>U007</t>
        </is>
      </c>
      <c r="I97" s="57">
        <f>IFERROR(INDEX(Commerciaux!$D$2:$D$3000,MATCH(H97,Commerciaux!$A$2:$A$3000,0)),"")</f>
        <v/>
      </c>
      <c r="J97" s="57" t="inlineStr">
        <is>
          <t>Envoi de la grille tarifaire</t>
        </is>
      </c>
      <c r="K97" s="40" t="inlineStr">
        <is>
          <t>Envoi à Frédéric Masson de la grille tarifaire actualisée, avec rappel des conditions de paiement (60 jours).</t>
        </is>
      </c>
      <c r="L97" s="57" t="inlineStr">
        <is>
          <t>À relancer</t>
        </is>
      </c>
      <c r="M97" s="57" t="n"/>
      <c r="N97" s="57" t="n"/>
      <c r="O97" s="58" t="n"/>
      <c r="P97" s="60" t="n"/>
      <c r="Q97" s="57" t="n"/>
    </row>
    <row r="98" ht="15" customHeight="1" s="34">
      <c r="A98" s="57" t="inlineStr">
        <is>
          <t>A0097</t>
        </is>
      </c>
      <c r="B98" s="58" t="n">
        <v>46008</v>
      </c>
      <c r="C98" s="57" t="inlineStr">
        <is>
          <t>Réunion visio</t>
        </is>
      </c>
      <c r="D98" s="57" t="inlineStr">
        <is>
          <t>E011</t>
        </is>
      </c>
      <c r="E98" s="57">
        <f>IFERROR(INDEX(Entreprises!$B$2:$B$3000,MATCH(D98,Entreprises!$A$2:$A$3000,0)),"")</f>
        <v/>
      </c>
      <c r="F98" s="57" t="inlineStr">
        <is>
          <t>C018</t>
        </is>
      </c>
      <c r="G98" s="57">
        <f>IFERROR(INDEX(Contacts!$E$2:$E$3000,MATCH(F98,Contacts!$A$2:$A$3000,0)),"")</f>
        <v/>
      </c>
      <c r="H98" s="57" t="inlineStr">
        <is>
          <t>U003</t>
        </is>
      </c>
      <c r="I98" s="57">
        <f>IFERROR(INDEX(Commerciaux!$D$2:$D$3000,MATCH(H98,Commerciaux!$A$2:$A$3000,0)),"")</f>
        <v/>
      </c>
      <c r="J98" s="57" t="inlineStr">
        <is>
          <t>Revue des prévisions</t>
        </is>
      </c>
      <c r="K98" s="40" t="inlineStr">
        <is>
          <t>Visio de revue des prévisions de volumes avec Julie Schmitt et la supply chain du client.</t>
        </is>
      </c>
      <c r="L98" s="57" t="inlineStr">
        <is>
          <t>Neutre</t>
        </is>
      </c>
      <c r="M98" s="57" t="n"/>
      <c r="N98" s="57" t="n"/>
      <c r="O98" s="58" t="n"/>
      <c r="P98" s="60" t="n">
        <v>45</v>
      </c>
      <c r="Q98" s="57" t="n"/>
    </row>
    <row r="99" ht="23.85" customHeight="1" s="34">
      <c r="A99" s="57" t="inlineStr">
        <is>
          <t>A0098</t>
        </is>
      </c>
      <c r="B99" s="58" t="n">
        <v>46008</v>
      </c>
      <c r="C99" s="57" t="inlineStr">
        <is>
          <t>E-mail</t>
        </is>
      </c>
      <c r="D99" s="57" t="inlineStr">
        <is>
          <t>E022</t>
        </is>
      </c>
      <c r="E99" s="57">
        <f>IFERROR(INDEX(Entreprises!$B$2:$B$3000,MATCH(D99,Entreprises!$A$2:$A$3000,0)),"")</f>
        <v/>
      </c>
      <c r="F99" s="57" t="inlineStr">
        <is>
          <t>C035</t>
        </is>
      </c>
      <c r="G99" s="57">
        <f>IFERROR(INDEX(Contacts!$E$2:$E$3000,MATCH(F99,Contacts!$A$2:$A$3000,0)),"")</f>
        <v/>
      </c>
      <c r="H99" s="57" t="inlineStr">
        <is>
          <t>U006</t>
        </is>
      </c>
      <c r="I99" s="57">
        <f>IFERROR(INDEX(Commerciaux!$D$2:$D$3000,MATCH(H99,Commerciaux!$A$2:$A$3000,0)),"")</f>
        <v/>
      </c>
      <c r="J99" s="57" t="inlineStr">
        <is>
          <t>Envoi du planning</t>
        </is>
      </c>
      <c r="K99" s="40" t="inlineStr">
        <is>
          <t>Envoi à Hélène Bouvier du planning prévisionnel et des points ouverts concernant le déploiement de la sérialisation sur un site supplémentaire.</t>
        </is>
      </c>
      <c r="L99" s="57" t="inlineStr">
        <is>
          <t>À relancer</t>
        </is>
      </c>
      <c r="M99" s="57" t="n"/>
      <c r="N99" s="57" t="n"/>
      <c r="O99" s="58" t="n"/>
      <c r="P99" s="60" t="n"/>
      <c r="Q99" s="57" t="n"/>
    </row>
    <row r="100" ht="35.05" customHeight="1" s="34">
      <c r="A100" s="57" t="inlineStr">
        <is>
          <t>A0099</t>
        </is>
      </c>
      <c r="B100" s="58" t="n">
        <v>46024</v>
      </c>
      <c r="C100" s="57" t="inlineStr">
        <is>
          <t>Visite terrain</t>
        </is>
      </c>
      <c r="D100" s="57" t="inlineStr">
        <is>
          <t>E001</t>
        </is>
      </c>
      <c r="E100" s="57">
        <f>IFERROR(INDEX(Entreprises!$B$2:$B$3000,MATCH(D100,Entreprises!$A$2:$A$3000,0)),"")</f>
        <v/>
      </c>
      <c r="F100" s="57" t="inlineStr">
        <is>
          <t>C001</t>
        </is>
      </c>
      <c r="G100" s="57">
        <f>IFERROR(INDEX(Contacts!$E$2:$E$3000,MATCH(F100,Contacts!$A$2:$A$3000,0)),"")</f>
        <v/>
      </c>
      <c r="H100" s="57" t="inlineStr">
        <is>
          <t>U002</t>
        </is>
      </c>
      <c r="I100" s="57">
        <f>IFERROR(INDEX(Commerciaux!$D$2:$D$3000,MATCH(H100,Commerciaux!$A$2:$A$3000,0)),"")</f>
        <v/>
      </c>
      <c r="J100" s="57" t="inlineStr">
        <is>
          <t>Revue d'activité semestrielle</t>
        </is>
      </c>
      <c r="K100" s="40" t="inlineStr">
        <is>
          <t>Revue d'activité semestrielle avec Nathalie Dubreuil. Satisfaction globale sur la qualité ; demande de visibilité sur l'évolution des prix des matières. Échange sur le renouvellement de l'accord-cadre étiquettes 2027.</t>
        </is>
      </c>
      <c r="L100" s="57" t="inlineStr">
        <is>
          <t>Neutre</t>
        </is>
      </c>
      <c r="M100" s="57" t="n"/>
      <c r="N100" s="57" t="inlineStr">
        <is>
          <t>Planifier une visite de site</t>
        </is>
      </c>
      <c r="O100" s="58" t="n">
        <v>46031</v>
      </c>
      <c r="P100" s="60" t="n">
        <v>60</v>
      </c>
      <c r="Q100" s="57" t="n"/>
    </row>
    <row r="101" ht="23.85" customHeight="1" s="34">
      <c r="A101" s="57" t="inlineStr">
        <is>
          <t>A0100</t>
        </is>
      </c>
      <c r="B101" s="58" t="n">
        <v>46024</v>
      </c>
      <c r="C101" s="57" t="inlineStr">
        <is>
          <t>Réunion visio</t>
        </is>
      </c>
      <c r="D101" s="57" t="inlineStr">
        <is>
          <t>E004</t>
        </is>
      </c>
      <c r="E101" s="57">
        <f>IFERROR(INDEX(Entreprises!$B$2:$B$3000,MATCH(D101,Entreprises!$A$2:$A$3000,0)),"")</f>
        <v/>
      </c>
      <c r="F101" s="57" t="inlineStr">
        <is>
          <t>C007</t>
        </is>
      </c>
      <c r="G101" s="57">
        <f>IFERROR(INDEX(Contacts!$E$2:$E$3000,MATCH(F101,Contacts!$A$2:$A$3000,0)),"")</f>
        <v/>
      </c>
      <c r="H101" s="57" t="inlineStr">
        <is>
          <t>U002</t>
        </is>
      </c>
      <c r="I101" s="57">
        <f>IFERROR(INDEX(Commerciaux!$D$2:$D$3000,MATCH(H101,Commerciaux!$A$2:$A$3000,0)),"")</f>
        <v/>
      </c>
      <c r="J101" s="57" t="inlineStr">
        <is>
          <t>Cadrage du besoin</t>
        </is>
      </c>
      <c r="K101" s="40" t="inlineStr">
        <is>
          <t>Réunion Teams avec Claire Fontaine pour cadrer le besoin concernant les coffrets des éditions limitées 2027. Liste des prérequis techniques partagée.</t>
        </is>
      </c>
      <c r="L101" s="57" t="inlineStr">
        <is>
          <t>Positif</t>
        </is>
      </c>
      <c r="M101" s="57" t="n"/>
      <c r="N101" s="57" t="inlineStr">
        <is>
          <t>Planifier une visite de site</t>
        </is>
      </c>
      <c r="O101" s="58" t="n">
        <v>46041</v>
      </c>
      <c r="P101" s="60" t="n">
        <v>60</v>
      </c>
      <c r="Q101" s="57" t="n"/>
    </row>
    <row r="102" ht="23.85" customHeight="1" s="34">
      <c r="A102" s="57" t="inlineStr">
        <is>
          <t>A0101</t>
        </is>
      </c>
      <c r="B102" s="58" t="n">
        <v>46031</v>
      </c>
      <c r="C102" s="57" t="inlineStr">
        <is>
          <t>Visite terrain</t>
        </is>
      </c>
      <c r="D102" s="57" t="inlineStr">
        <is>
          <t>E013</t>
        </is>
      </c>
      <c r="E102" s="57">
        <f>IFERROR(INDEX(Entreprises!$B$2:$B$3000,MATCH(D102,Entreprises!$A$2:$A$3000,0)),"")</f>
        <v/>
      </c>
      <c r="F102" s="57" t="inlineStr">
        <is>
          <t>C022</t>
        </is>
      </c>
      <c r="G102" s="57">
        <f>IFERROR(INDEX(Contacts!$E$2:$E$3000,MATCH(F102,Contacts!$A$2:$A$3000,0)),"")</f>
        <v/>
      </c>
      <c r="H102" s="57" t="inlineStr">
        <is>
          <t>U004</t>
        </is>
      </c>
      <c r="I102" s="57">
        <f>IFERROR(INDEX(Commerciaux!$D$2:$D$3000,MATCH(H102,Commerciaux!$A$2:$A$3000,0)),"")</f>
        <v/>
      </c>
      <c r="J102" s="57" t="inlineStr">
        <is>
          <t>Présentation des nouveautés 2026</t>
        </is>
      </c>
      <c r="K102" s="40" t="inlineStr">
        <is>
          <t>Présentation des nouveautés 2026 à Yannick Morin, notamment les notices pharmaceutiques pliées. Accueil favorable et demande d'échantillons.</t>
        </is>
      </c>
      <c r="L102" s="57" t="inlineStr">
        <is>
          <t>Neutre</t>
        </is>
      </c>
      <c r="M102" s="57" t="n"/>
      <c r="N102" s="57" t="inlineStr">
        <is>
          <t>Planifier une visite de site</t>
        </is>
      </c>
      <c r="O102" s="58" t="n">
        <v>46041</v>
      </c>
      <c r="P102" s="60" t="n">
        <v>60</v>
      </c>
      <c r="Q102" s="57" t="n"/>
    </row>
    <row r="103" ht="23.85" customHeight="1" s="34">
      <c r="A103" s="57" t="inlineStr">
        <is>
          <t>A0102</t>
        </is>
      </c>
      <c r="B103" s="58" t="n">
        <v>46034</v>
      </c>
      <c r="C103" s="57" t="inlineStr">
        <is>
          <t>E-mail</t>
        </is>
      </c>
      <c r="D103" s="57" t="inlineStr">
        <is>
          <t>E028</t>
        </is>
      </c>
      <c r="E103" s="57">
        <f>IFERROR(INDEX(Entreprises!$B$2:$B$3000,MATCH(D103,Entreprises!$A$2:$A$3000,0)),"")</f>
        <v/>
      </c>
      <c r="F103" s="57" t="inlineStr">
        <is>
          <t>C047</t>
        </is>
      </c>
      <c r="G103" s="57">
        <f>IFERROR(INDEX(Contacts!$E$2:$E$3000,MATCH(F103,Contacts!$A$2:$A$3000,0)),"")</f>
        <v/>
      </c>
      <c r="H103" s="57" t="inlineStr">
        <is>
          <t>U007</t>
        </is>
      </c>
      <c r="I103" s="57">
        <f>IFERROR(INDEX(Commerciaux!$D$2:$D$3000,MATCH(H103,Commerciaux!$A$2:$A$3000,0)),"")</f>
        <v/>
      </c>
      <c r="J103" s="57" t="inlineStr">
        <is>
          <t>Envoi de fiche technique</t>
        </is>
      </c>
      <c r="K103" s="40" t="inlineStr">
        <is>
          <t>Envoi à Chloé Muller de la fiche technique et des certificats des étiquettes adhésives haute définition.</t>
        </is>
      </c>
      <c r="L103" s="57" t="inlineStr">
        <is>
          <t>Neutre</t>
        </is>
      </c>
      <c r="M103" s="57" t="n"/>
      <c r="N103" s="57" t="n"/>
      <c r="O103" s="58" t="n"/>
      <c r="P103" s="60" t="n"/>
      <c r="Q103" s="57" t="n"/>
    </row>
    <row r="104" ht="35.05" customHeight="1" s="34">
      <c r="A104" s="57" t="inlineStr">
        <is>
          <t>A0103</t>
        </is>
      </c>
      <c r="B104" s="58" t="n">
        <v>46038</v>
      </c>
      <c r="C104" s="57" t="inlineStr">
        <is>
          <t>Visite terrain</t>
        </is>
      </c>
      <c r="D104" s="57" t="inlineStr">
        <is>
          <t>E012</t>
        </is>
      </c>
      <c r="E104" s="57">
        <f>IFERROR(INDEX(Entreprises!$B$2:$B$3000,MATCH(D104,Entreprises!$A$2:$A$3000,0)),"")</f>
        <v/>
      </c>
      <c r="F104" s="57" t="inlineStr">
        <is>
          <t>C019</t>
        </is>
      </c>
      <c r="G104" s="57">
        <f>IFERROR(INDEX(Contacts!$E$2:$E$3000,MATCH(F104,Contacts!$A$2:$A$3000,0)),"")</f>
        <v/>
      </c>
      <c r="H104" s="57" t="inlineStr">
        <is>
          <t>U004</t>
        </is>
      </c>
      <c r="I104" s="57">
        <f>IFERROR(INDEX(Commerciaux!$D$2:$D$3000,MATCH(H104,Commerciaux!$A$2:$A$3000,0)),"")</f>
        <v/>
      </c>
      <c r="J104" s="57" t="inlineStr">
        <is>
          <t>Revue d'activité semestrielle</t>
        </is>
      </c>
      <c r="K104" s="40" t="inlineStr">
        <is>
          <t>Revue d'activité semestrielle avec Isabelle Roche. Satisfaction globale sur la qualité ; demande de visibilité sur l'évolution des prix des matières. Échange sur la sérialisation des kits de diagnostic pour l'export.</t>
        </is>
      </c>
      <c r="L104" s="57" t="inlineStr">
        <is>
          <t>Neutre</t>
        </is>
      </c>
      <c r="M104" s="57" t="n"/>
      <c r="N104" s="57" t="inlineStr">
        <is>
          <t>Envoyer le devis</t>
        </is>
      </c>
      <c r="O104" s="58" t="n">
        <v>46059</v>
      </c>
      <c r="P104" s="60" t="n">
        <v>60</v>
      </c>
      <c r="Q104" s="57" t="n"/>
    </row>
    <row r="105" ht="15" customHeight="1" s="34">
      <c r="A105" s="57" t="inlineStr">
        <is>
          <t>A0104</t>
        </is>
      </c>
      <c r="B105" s="58" t="n">
        <v>46038</v>
      </c>
      <c r="C105" s="57" t="inlineStr">
        <is>
          <t>Réunion visio</t>
        </is>
      </c>
      <c r="D105" s="57" t="inlineStr">
        <is>
          <t>E013</t>
        </is>
      </c>
      <c r="E105" s="57">
        <f>IFERROR(INDEX(Entreprises!$B$2:$B$3000,MATCH(D105,Entreprises!$A$2:$A$3000,0)),"")</f>
        <v/>
      </c>
      <c r="F105" s="57" t="inlineStr">
        <is>
          <t>C021</t>
        </is>
      </c>
      <c r="G105" s="57">
        <f>IFERROR(INDEX(Contacts!$E$2:$E$3000,MATCH(F105,Contacts!$A$2:$A$3000,0)),"")</f>
        <v/>
      </c>
      <c r="H105" s="57" t="inlineStr">
        <is>
          <t>U004</t>
        </is>
      </c>
      <c r="I105" s="57">
        <f>IFERROR(INDEX(Commerciaux!$D$2:$D$3000,MATCH(H105,Commerciaux!$A$2:$A$3000,0)),"")</f>
        <v/>
      </c>
      <c r="J105" s="57" t="inlineStr">
        <is>
          <t>Revue des prévisions</t>
        </is>
      </c>
      <c r="K105" s="40" t="inlineStr">
        <is>
          <t>Visio de revue des prévisions de volumes avec Christine Blanc et la supply chain du client.</t>
        </is>
      </c>
      <c r="L105" s="57" t="inlineStr">
        <is>
          <t>Neutre</t>
        </is>
      </c>
      <c r="M105" s="57" t="n"/>
      <c r="N105" s="57" t="inlineStr">
        <is>
          <t>Relancer pour obtenir un retour</t>
        </is>
      </c>
      <c r="O105" s="58" t="n">
        <v>46048</v>
      </c>
      <c r="P105" s="60" t="n">
        <v>60</v>
      </c>
      <c r="Q105" s="57" t="n"/>
    </row>
    <row r="106" ht="35.05" customHeight="1" s="34">
      <c r="A106" s="57" t="inlineStr">
        <is>
          <t>A0105</t>
        </is>
      </c>
      <c r="B106" s="58" t="n">
        <v>46038</v>
      </c>
      <c r="C106" s="57" t="inlineStr">
        <is>
          <t>Visite terrain</t>
        </is>
      </c>
      <c r="D106" s="57" t="inlineStr">
        <is>
          <t>E026</t>
        </is>
      </c>
      <c r="E106" s="57">
        <f>IFERROR(INDEX(Entreprises!$B$2:$B$3000,MATCH(D106,Entreprises!$A$2:$A$3000,0)),"")</f>
        <v/>
      </c>
      <c r="F106" s="57" t="inlineStr">
        <is>
          <t>C043</t>
        </is>
      </c>
      <c r="G106" s="57">
        <f>IFERROR(INDEX(Contacts!$E$2:$E$3000,MATCH(F106,Contacts!$A$2:$A$3000,0)),"")</f>
        <v/>
      </c>
      <c r="H106" s="57" t="inlineStr">
        <is>
          <t>U007</t>
        </is>
      </c>
      <c r="I106" s="57">
        <f>IFERROR(INDEX(Commerciaux!$D$2:$D$3000,MATCH(H106,Commerciaux!$A$2:$A$3000,0)),"")</f>
        <v/>
      </c>
      <c r="J106" s="57" t="inlineStr">
        <is>
          <t>Visite de la ligne de conditionnement</t>
        </is>
      </c>
      <c r="K106" s="40" t="inlineStr">
        <is>
          <t>Visite du site avec Samuel Robin et l'équipe de production. Observation de la ligne de conditionnement ; points d'amélioration identifiés sur les changements de format. Intérêt exprimé pour la réduction des emballages secondaires.</t>
        </is>
      </c>
      <c r="L106" s="57" t="inlineStr">
        <is>
          <t>Neutre</t>
        </is>
      </c>
      <c r="M106" s="57" t="n"/>
      <c r="N106" s="57" t="n"/>
      <c r="O106" s="58" t="n"/>
      <c r="P106" s="60" t="n">
        <v>75</v>
      </c>
      <c r="Q106" s="57" t="n"/>
    </row>
    <row r="107" ht="23.85" customHeight="1" s="34">
      <c r="A107" s="57" t="inlineStr">
        <is>
          <t>A0106</t>
        </is>
      </c>
      <c r="B107" s="58" t="n">
        <v>46041</v>
      </c>
      <c r="C107" s="57" t="inlineStr">
        <is>
          <t>E-mail</t>
        </is>
      </c>
      <c r="D107" s="57" t="inlineStr">
        <is>
          <t>E005</t>
        </is>
      </c>
      <c r="E107" s="57">
        <f>IFERROR(INDEX(Entreprises!$B$2:$B$3000,MATCH(D107,Entreprises!$A$2:$A$3000,0)),"")</f>
        <v/>
      </c>
      <c r="F107" s="57" t="inlineStr">
        <is>
          <t>C009</t>
        </is>
      </c>
      <c r="G107" s="57">
        <f>IFERROR(INDEX(Contacts!$E$2:$E$3000,MATCH(F107,Contacts!$A$2:$A$3000,0)),"")</f>
        <v/>
      </c>
      <c r="H107" s="57" t="inlineStr">
        <is>
          <t>U002</t>
        </is>
      </c>
      <c r="I107" s="57">
        <f>IFERROR(INDEX(Commerciaux!$D$2:$D$3000,MATCH(H107,Commerciaux!$A$2:$A$3000,0)),"")</f>
        <v/>
      </c>
      <c r="J107" s="57" t="inlineStr">
        <is>
          <t>Envoi du planning</t>
        </is>
      </c>
      <c r="K107" s="40" t="inlineStr">
        <is>
          <t>Envoi à Léa Moreau du planning prévisionnel et des points ouverts concernant le référencement en second fournisseur d'étuis.</t>
        </is>
      </c>
      <c r="L107" s="57" t="inlineStr">
        <is>
          <t>Neutre</t>
        </is>
      </c>
      <c r="M107" s="57" t="n"/>
      <c r="N107" s="57" t="n"/>
      <c r="O107" s="58" t="n"/>
      <c r="P107" s="60" t="n"/>
      <c r="Q107" s="57" t="n"/>
    </row>
    <row r="108" ht="15" customHeight="1" s="34">
      <c r="A108" s="57" t="inlineStr">
        <is>
          <t>A0107</t>
        </is>
      </c>
      <c r="B108" s="58" t="n">
        <v>46042</v>
      </c>
      <c r="C108" s="57" t="inlineStr">
        <is>
          <t>E-mail</t>
        </is>
      </c>
      <c r="D108" s="57" t="inlineStr">
        <is>
          <t>E004</t>
        </is>
      </c>
      <c r="E108" s="57">
        <f>IFERROR(INDEX(Entreprises!$B$2:$B$3000,MATCH(D108,Entreprises!$A$2:$A$3000,0)),"")</f>
        <v/>
      </c>
      <c r="F108" s="57" t="inlineStr">
        <is>
          <t>C008</t>
        </is>
      </c>
      <c r="G108" s="57">
        <f>IFERROR(INDEX(Contacts!$E$2:$E$3000,MATCH(F108,Contacts!$A$2:$A$3000,0)),"")</f>
        <v/>
      </c>
      <c r="H108" s="57" t="inlineStr">
        <is>
          <t>U002</t>
        </is>
      </c>
      <c r="I108" s="57">
        <f>IFERROR(INDEX(Commerciaux!$D$2:$D$3000,MATCH(H108,Commerciaux!$A$2:$A$3000,0)),"")</f>
        <v/>
      </c>
      <c r="J108" s="57" t="inlineStr">
        <is>
          <t>Envoi de fiche technique</t>
        </is>
      </c>
      <c r="K108" s="40" t="inlineStr">
        <is>
          <t>Envoi à Hugo Perrin de la fiche technique et des certificats des coffrets rigides premium.</t>
        </is>
      </c>
      <c r="L108" s="57" t="inlineStr">
        <is>
          <t>Neutre</t>
        </is>
      </c>
      <c r="M108" s="57" t="n"/>
      <c r="N108" s="57" t="n"/>
      <c r="O108" s="58" t="n"/>
      <c r="P108" s="60" t="n"/>
      <c r="Q108" s="57" t="n"/>
    </row>
    <row r="109" ht="35.05" customHeight="1" s="34">
      <c r="A109" s="57" t="inlineStr">
        <is>
          <t>A0108</t>
        </is>
      </c>
      <c r="B109" s="58" t="n">
        <v>46043</v>
      </c>
      <c r="C109" s="57" t="inlineStr">
        <is>
          <t>Visite terrain</t>
        </is>
      </c>
      <c r="D109" s="57" t="inlineStr">
        <is>
          <t>E009</t>
        </is>
      </c>
      <c r="E109" s="57">
        <f>IFERROR(INDEX(Entreprises!$B$2:$B$3000,MATCH(D109,Entreprises!$A$2:$A$3000,0)),"")</f>
        <v/>
      </c>
      <c r="F109" s="57" t="inlineStr">
        <is>
          <t>C014</t>
        </is>
      </c>
      <c r="G109" s="57">
        <f>IFERROR(INDEX(Contacts!$E$2:$E$3000,MATCH(F109,Contacts!$A$2:$A$3000,0)),"")</f>
        <v/>
      </c>
      <c r="H109" s="57" t="inlineStr">
        <is>
          <t>U003</t>
        </is>
      </c>
      <c r="I109" s="57">
        <f>IFERROR(INDEX(Commerciaux!$D$2:$D$3000,MATCH(H109,Commerciaux!$A$2:$A$3000,0)),"")</f>
        <v/>
      </c>
      <c r="J109" s="57" t="inlineStr">
        <is>
          <t>Visite de suivi</t>
        </is>
      </c>
      <c r="K109" s="40" t="inlineStr">
        <is>
          <t>Visite de suivi avec Jean-Marc Lambert. Revue des commandes en cours et des prévisions du trimestre sur les étuis spiritueux luxe. Pas de difficulté particulière signalée. Jean-Marc Lambert évoque le renouvellement des étuis de la gamme rosé.</t>
        </is>
      </c>
      <c r="L109" s="57" t="inlineStr">
        <is>
          <t>Positif</t>
        </is>
      </c>
      <c r="M109" s="57" t="n"/>
      <c r="N109" s="57" t="n"/>
      <c r="O109" s="58" t="n"/>
      <c r="P109" s="60" t="n">
        <v>60</v>
      </c>
      <c r="Q109" s="57" t="n"/>
    </row>
    <row r="110" ht="23.85" customHeight="1" s="34">
      <c r="A110" s="57" t="inlineStr">
        <is>
          <t>A0109</t>
        </is>
      </c>
      <c r="B110" s="58" t="n">
        <v>46052</v>
      </c>
      <c r="C110" s="57" t="inlineStr">
        <is>
          <t>Appel</t>
        </is>
      </c>
      <c r="D110" s="57" t="inlineStr">
        <is>
          <t>E021</t>
        </is>
      </c>
      <c r="E110" s="57">
        <f>IFERROR(INDEX(Entreprises!$B$2:$B$3000,MATCH(D110,Entreprises!$A$2:$A$3000,0)),"")</f>
        <v/>
      </c>
      <c r="F110" s="57" t="inlineStr">
        <is>
          <t>C034</t>
        </is>
      </c>
      <c r="G110" s="57">
        <f>IFERROR(INDEX(Contacts!$E$2:$E$3000,MATCH(F110,Contacts!$A$2:$A$3000,0)),"")</f>
        <v/>
      </c>
      <c r="H110" s="57" t="inlineStr">
        <is>
          <t>U005</t>
        </is>
      </c>
      <c r="I110" s="57">
        <f>IFERROR(INDEX(Commerciaux!$D$2:$D$3000,MATCH(H110,Commerciaux!$A$2:$A$3000,0)),"")</f>
        <v/>
      </c>
      <c r="J110" s="57" t="inlineStr">
        <is>
          <t>Relance proposition</t>
        </is>
      </c>
      <c r="K110" s="40" t="inlineStr">
        <is>
          <t>Appel de relance sur la dernière proposition. Thierry Lacroix demande quelques jours pour consolider les retours internes.</t>
        </is>
      </c>
      <c r="L110" s="57" t="inlineStr">
        <is>
          <t>Neutre</t>
        </is>
      </c>
      <c r="M110" s="57" t="n"/>
      <c r="N110" s="57" t="inlineStr">
        <is>
          <t>Envoyer le devis</t>
        </is>
      </c>
      <c r="O110" s="58" t="n">
        <v>46073</v>
      </c>
      <c r="P110" s="60" t="n">
        <v>15</v>
      </c>
      <c r="Q110" s="57" t="n"/>
    </row>
    <row r="111" ht="23.85" customHeight="1" s="34">
      <c r="A111" s="57" t="inlineStr">
        <is>
          <t>A0110</t>
        </is>
      </c>
      <c r="B111" s="58" t="n">
        <v>46062</v>
      </c>
      <c r="C111" s="57" t="inlineStr">
        <is>
          <t>E-mail</t>
        </is>
      </c>
      <c r="D111" s="57" t="inlineStr">
        <is>
          <t>E001</t>
        </is>
      </c>
      <c r="E111" s="57">
        <f>IFERROR(INDEX(Entreprises!$B$2:$B$3000,MATCH(D111,Entreprises!$A$2:$A$3000,0)),"")</f>
        <v/>
      </c>
      <c r="F111" s="57" t="inlineStr">
        <is>
          <t>C002</t>
        </is>
      </c>
      <c r="G111" s="57">
        <f>IFERROR(INDEX(Contacts!$E$2:$E$3000,MATCH(F111,Contacts!$A$2:$A$3000,0)),"")</f>
        <v/>
      </c>
      <c r="H111" s="57" t="inlineStr">
        <is>
          <t>U002</t>
        </is>
      </c>
      <c r="I111" s="57">
        <f>IFERROR(INDEX(Commerciaux!$D$2:$D$3000,MATCH(H111,Commerciaux!$A$2:$A$3000,0)),"")</f>
        <v/>
      </c>
      <c r="J111" s="57" t="inlineStr">
        <is>
          <t>Envoi de la grille tarifaire</t>
        </is>
      </c>
      <c r="K111" s="40" t="inlineStr">
        <is>
          <t>Envoi à Kevin Lemaire de la grille tarifaire actualisée, avec rappel des conditions de paiement (60 jours fin de mois).</t>
        </is>
      </c>
      <c r="L111" s="57" t="inlineStr">
        <is>
          <t>Neutre</t>
        </is>
      </c>
      <c r="M111" s="57" t="n"/>
      <c r="N111" s="57" t="n"/>
      <c r="O111" s="58" t="n"/>
      <c r="P111" s="60" t="n"/>
      <c r="Q111" s="57" t="n"/>
    </row>
    <row r="112" ht="23.85" customHeight="1" s="34">
      <c r="A112" s="57" t="inlineStr">
        <is>
          <t>A0111</t>
        </is>
      </c>
      <c r="B112" s="58" t="n">
        <v>46062</v>
      </c>
      <c r="C112" s="57" t="inlineStr">
        <is>
          <t>Réunion visio</t>
        </is>
      </c>
      <c r="D112" s="57" t="inlineStr">
        <is>
          <t>E001</t>
        </is>
      </c>
      <c r="E112" s="57">
        <f>IFERROR(INDEX(Entreprises!$B$2:$B$3000,MATCH(D112,Entreprises!$A$2:$A$3000,0)),"")</f>
        <v/>
      </c>
      <c r="F112" s="57" t="inlineStr">
        <is>
          <t>C001</t>
        </is>
      </c>
      <c r="G112" s="57">
        <f>IFERROR(INDEX(Contacts!$E$2:$E$3000,MATCH(F112,Contacts!$A$2:$A$3000,0)),"")</f>
        <v/>
      </c>
      <c r="H112" s="57" t="inlineStr">
        <is>
          <t>U002</t>
        </is>
      </c>
      <c r="I112" s="57">
        <f>IFERROR(INDEX(Commerciaux!$D$2:$D$3000,MATCH(H112,Commerciaux!$A$2:$A$3000,0)),"")</f>
        <v/>
      </c>
      <c r="J112" s="57" t="inlineStr">
        <is>
          <t>Cadrage du besoin</t>
        </is>
      </c>
      <c r="K112" s="40" t="inlineStr">
        <is>
          <t>Réunion Teams avec Nathalie Dubreuil pour cadrer le besoin concernant le renouvellement de l'accord-cadre étiquettes 2027. Liste des prérequis techniques partagée.</t>
        </is>
      </c>
      <c r="L112" s="57" t="inlineStr">
        <is>
          <t>Positif</t>
        </is>
      </c>
      <c r="M112" s="57" t="n"/>
      <c r="N112" s="57" t="inlineStr">
        <is>
          <t>Transmettre des échantillons</t>
        </is>
      </c>
      <c r="O112" s="58" t="n">
        <v>46080</v>
      </c>
      <c r="P112" s="60" t="n">
        <v>30</v>
      </c>
      <c r="Q112" s="57" t="n"/>
    </row>
    <row r="113" ht="35.05" customHeight="1" s="34">
      <c r="A113" s="57" t="inlineStr">
        <is>
          <t>A0112</t>
        </is>
      </c>
      <c r="B113" s="58" t="n">
        <v>46062</v>
      </c>
      <c r="C113" s="57" t="inlineStr">
        <is>
          <t>Visite terrain</t>
        </is>
      </c>
      <c r="D113" s="57" t="inlineStr">
        <is>
          <t>E025</t>
        </is>
      </c>
      <c r="E113" s="57">
        <f>IFERROR(INDEX(Entreprises!$B$2:$B$3000,MATCH(D113,Entreprises!$A$2:$A$3000,0)),"")</f>
        <v/>
      </c>
      <c r="F113" s="57" t="inlineStr">
        <is>
          <t>C041</t>
        </is>
      </c>
      <c r="G113" s="57">
        <f>IFERROR(INDEX(Contacts!$E$2:$E$3000,MATCH(F113,Contacts!$A$2:$A$3000,0)),"")</f>
        <v/>
      </c>
      <c r="H113" s="57" t="inlineStr">
        <is>
          <t>U007</t>
        </is>
      </c>
      <c r="I113" s="57">
        <f>IFERROR(INDEX(Commerciaux!$D$2:$D$3000,MATCH(H113,Commerciaux!$A$2:$A$3000,0)),"")</f>
        <v/>
      </c>
      <c r="J113" s="57" t="inlineStr">
        <is>
          <t>Visite de suivi</t>
        </is>
      </c>
      <c r="K113" s="40" t="inlineStr">
        <is>
          <t>Visite de suivi avec Manon Leclerc. Revue des commandes en cours et des prévisions du trimestre sur les étuis spiritueux luxe. Pas de difficulté particulière signalée. Manon Leclerc évoque le programme d'éco-conception des coffrets.</t>
        </is>
      </c>
      <c r="L113" s="57" t="inlineStr">
        <is>
          <t>Neutre</t>
        </is>
      </c>
      <c r="M113" s="57" t="n"/>
      <c r="N113" s="57" t="n"/>
      <c r="O113" s="58" t="n"/>
      <c r="P113" s="60" t="n">
        <v>90</v>
      </c>
      <c r="Q113" s="57" t="n"/>
    </row>
    <row r="114" ht="23.85" customHeight="1" s="34">
      <c r="A114" s="57" t="inlineStr">
        <is>
          <t>A0113</t>
        </is>
      </c>
      <c r="B114" s="58" t="n">
        <v>46073</v>
      </c>
      <c r="C114" s="57" t="inlineStr">
        <is>
          <t>Appel</t>
        </is>
      </c>
      <c r="D114" s="57" t="inlineStr">
        <is>
          <t>E012</t>
        </is>
      </c>
      <c r="E114" s="57">
        <f>IFERROR(INDEX(Entreprises!$B$2:$B$3000,MATCH(D114,Entreprises!$A$2:$A$3000,0)),"")</f>
        <v/>
      </c>
      <c r="F114" s="57" t="inlineStr">
        <is>
          <t>C020</t>
        </is>
      </c>
      <c r="G114" s="57">
        <f>IFERROR(INDEX(Contacts!$E$2:$E$3000,MATCH(F114,Contacts!$A$2:$A$3000,0)),"")</f>
        <v/>
      </c>
      <c r="H114" s="57" t="inlineStr">
        <is>
          <t>U004</t>
        </is>
      </c>
      <c r="I114" s="57">
        <f>IFERROR(INDEX(Commerciaux!$D$2:$D$3000,MATCH(H114,Commerciaux!$A$2:$A$3000,0)),"")</f>
        <v/>
      </c>
      <c r="J114" s="57" t="inlineStr">
        <is>
          <t>Relance proposition</t>
        </is>
      </c>
      <c r="K114" s="40" t="inlineStr">
        <is>
          <t>Appel de relance sur la dernière proposition. Mathieu Faure demande quelques jours pour consolider les retours internes.</t>
        </is>
      </c>
      <c r="L114" s="57" t="inlineStr">
        <is>
          <t>Positif</t>
        </is>
      </c>
      <c r="M114" s="57" t="n"/>
      <c r="N114" s="57" t="n"/>
      <c r="O114" s="58" t="n"/>
      <c r="P114" s="60" t="n">
        <v>5</v>
      </c>
      <c r="Q114" s="57" t="n"/>
    </row>
    <row r="115" ht="23.85" customHeight="1" s="34">
      <c r="A115" s="57" t="inlineStr">
        <is>
          <t>A0114</t>
        </is>
      </c>
      <c r="B115" s="58" t="n">
        <v>46080</v>
      </c>
      <c r="C115" s="57" t="inlineStr">
        <is>
          <t>Appel</t>
        </is>
      </c>
      <c r="D115" s="57" t="inlineStr">
        <is>
          <t>E022</t>
        </is>
      </c>
      <c r="E115" s="57">
        <f>IFERROR(INDEX(Entreprises!$B$2:$B$3000,MATCH(D115,Entreprises!$A$2:$A$3000,0)),"")</f>
        <v/>
      </c>
      <c r="F115" s="57" t="inlineStr">
        <is>
          <t>C036</t>
        </is>
      </c>
      <c r="G115" s="57">
        <f>IFERROR(INDEX(Contacts!$E$2:$E$3000,MATCH(F115,Contacts!$A$2:$A$3000,0)),"")</f>
        <v/>
      </c>
      <c r="H115" s="57" t="inlineStr">
        <is>
          <t>U006</t>
        </is>
      </c>
      <c r="I115" s="57">
        <f>IFERROR(INDEX(Commerciaux!$D$2:$D$3000,MATCH(H115,Commerciaux!$A$2:$A$3000,0)),"")</f>
        <v/>
      </c>
      <c r="J115" s="57" t="inlineStr">
        <is>
          <t>Point d'avancement projet</t>
        </is>
      </c>
      <c r="K115" s="40" t="inlineStr">
        <is>
          <t>Échange téléphonique avec Patrick Renaud sur le calendrier concernant le déploiement de la sérialisation sur un site supplémentaire. Décision interne attendue dans les prochaines semaines.</t>
        </is>
      </c>
      <c r="L115" s="57" t="inlineStr">
        <is>
          <t>À relancer</t>
        </is>
      </c>
      <c r="M115" s="57" t="n"/>
      <c r="N115" s="57" t="inlineStr">
        <is>
          <t>Planifier une visite de site</t>
        </is>
      </c>
      <c r="O115" s="58" t="n">
        <v>46090</v>
      </c>
      <c r="P115" s="60" t="n">
        <v>10</v>
      </c>
      <c r="Q115" s="57" t="n"/>
    </row>
    <row r="116" ht="23.85" customHeight="1" s="34">
      <c r="A116" s="57" t="inlineStr">
        <is>
          <t>A0115</t>
        </is>
      </c>
      <c r="B116" s="58" t="n">
        <v>46083</v>
      </c>
      <c r="C116" s="57" t="inlineStr">
        <is>
          <t>Visite terrain</t>
        </is>
      </c>
      <c r="D116" s="57" t="inlineStr">
        <is>
          <t>E001</t>
        </is>
      </c>
      <c r="E116" s="57">
        <f>IFERROR(INDEX(Entreprises!$B$2:$B$3000,MATCH(D116,Entreprises!$A$2:$A$3000,0)),"")</f>
        <v/>
      </c>
      <c r="F116" s="57" t="inlineStr">
        <is>
          <t>C002</t>
        </is>
      </c>
      <c r="G116" s="57">
        <f>IFERROR(INDEX(Contacts!$E$2:$E$3000,MATCH(F116,Contacts!$A$2:$A$3000,0)),"")</f>
        <v/>
      </c>
      <c r="H116" s="57" t="inlineStr">
        <is>
          <t>U002</t>
        </is>
      </c>
      <c r="I116" s="57">
        <f>IFERROR(INDEX(Commerciaux!$D$2:$D$3000,MATCH(H116,Commerciaux!$A$2:$A$3000,0)),"")</f>
        <v/>
      </c>
      <c r="J116" s="57" t="inlineStr">
        <is>
          <t>Présentation des nouveautés 2026</t>
        </is>
      </c>
      <c r="K116" s="40" t="inlineStr">
        <is>
          <t>Présentation des nouveautés 2026 à Kevin Lemaire, notamment les caisses carton ondulé personnalisées. Accueil favorable et demande d'échantillons.</t>
        </is>
      </c>
      <c r="L116" s="57" t="inlineStr">
        <is>
          <t>Positif</t>
        </is>
      </c>
      <c r="M116" s="57" t="n"/>
      <c r="N116" s="57" t="inlineStr">
        <is>
          <t>Envoyer la documentation technique</t>
        </is>
      </c>
      <c r="O116" s="58" t="n">
        <v>46101</v>
      </c>
      <c r="P116" s="60" t="n">
        <v>60</v>
      </c>
      <c r="Q116" s="57" t="n"/>
    </row>
    <row r="117" ht="23.85" customHeight="1" s="34">
      <c r="A117" s="57" t="inlineStr">
        <is>
          <t>A0116</t>
        </is>
      </c>
      <c r="B117" s="58" t="n">
        <v>46084</v>
      </c>
      <c r="C117" s="57" t="inlineStr">
        <is>
          <t>Visite terrain</t>
        </is>
      </c>
      <c r="D117" s="57" t="inlineStr">
        <is>
          <t>E003</t>
        </is>
      </c>
      <c r="E117" s="57">
        <f>IFERROR(INDEX(Entreprises!$B$2:$B$3000,MATCH(D117,Entreprises!$A$2:$A$3000,0)),"")</f>
        <v/>
      </c>
      <c r="F117" s="57" t="inlineStr">
        <is>
          <t>C006</t>
        </is>
      </c>
      <c r="G117" s="57">
        <f>IFERROR(INDEX(Contacts!$E$2:$E$3000,MATCH(F117,Contacts!$A$2:$A$3000,0)),"")</f>
        <v/>
      </c>
      <c r="H117" s="57" t="inlineStr">
        <is>
          <t>U002</t>
        </is>
      </c>
      <c r="I117" s="57">
        <f>IFERROR(INDEX(Commerciaux!$D$2:$D$3000,MATCH(H117,Commerciaux!$A$2:$A$3000,0)),"")</f>
        <v/>
      </c>
      <c r="J117" s="57" t="inlineStr">
        <is>
          <t>Revue d'activité semestrielle</t>
        </is>
      </c>
      <c r="K117" s="40" t="inlineStr">
        <is>
          <t>Revue d'activité semestrielle avec Olivier Chen. Satisfaction globale sur la qualité ; demande de visibilité sur l'évolution des prix des matières. Échange sur la refonte des notices multilingues.</t>
        </is>
      </c>
      <c r="L117" s="57" t="inlineStr">
        <is>
          <t>Positif</t>
        </is>
      </c>
      <c r="M117" s="57" t="n"/>
      <c r="N117" s="57" t="n"/>
      <c r="O117" s="58" t="n"/>
      <c r="P117" s="60" t="n">
        <v>120</v>
      </c>
      <c r="Q117" s="57" t="n"/>
    </row>
    <row r="118" ht="23.85" customHeight="1" s="34">
      <c r="A118" s="57" t="inlineStr">
        <is>
          <t>A0117</t>
        </is>
      </c>
      <c r="B118" s="58" t="n">
        <v>46086</v>
      </c>
      <c r="C118" s="57" t="inlineStr">
        <is>
          <t>Note</t>
        </is>
      </c>
      <c r="D118" s="57" t="inlineStr">
        <is>
          <t>E005</t>
        </is>
      </c>
      <c r="E118" s="57">
        <f>IFERROR(INDEX(Entreprises!$B$2:$B$3000,MATCH(D118,Entreprises!$A$2:$A$3000,0)),"")</f>
        <v/>
      </c>
      <c r="F118" s="57" t="inlineStr">
        <is>
          <t>C009</t>
        </is>
      </c>
      <c r="G118" s="57">
        <f>IFERROR(INDEX(Contacts!$E$2:$E$3000,MATCH(F118,Contacts!$A$2:$A$3000,0)),"")</f>
        <v/>
      </c>
      <c r="H118" s="57" t="inlineStr">
        <is>
          <t>U002</t>
        </is>
      </c>
      <c r="I118" s="57">
        <f>IFERROR(INDEX(Commerciaux!$D$2:$D$3000,MATCH(H118,Commerciaux!$A$2:$A$3000,0)),"")</f>
        <v/>
      </c>
      <c r="J118" s="57" t="inlineStr">
        <is>
          <t>Préparation négociation</t>
        </is>
      </c>
      <c r="K118" s="40" t="inlineStr">
        <is>
          <t>Note interne : préparer un comparatif de prix face à Cartonnages Vauclair avant la prochaine négociation.</t>
        </is>
      </c>
      <c r="L118" s="57" t="inlineStr">
        <is>
          <t>Neutre</t>
        </is>
      </c>
      <c r="M118" s="57" t="n"/>
      <c r="N118" s="57" t="n"/>
      <c r="O118" s="58" t="n"/>
      <c r="P118" s="60" t="n"/>
      <c r="Q118" s="57" t="n"/>
    </row>
    <row r="119" ht="35.05" customHeight="1" s="34">
      <c r="A119" s="57" t="inlineStr">
        <is>
          <t>A0118</t>
        </is>
      </c>
      <c r="B119" s="58" t="n">
        <v>46087</v>
      </c>
      <c r="C119" s="57" t="inlineStr">
        <is>
          <t>Visite terrain</t>
        </is>
      </c>
      <c r="D119" s="57" t="inlineStr">
        <is>
          <t>E001</t>
        </is>
      </c>
      <c r="E119" s="57">
        <f>IFERROR(INDEX(Entreprises!$B$2:$B$3000,MATCH(D119,Entreprises!$A$2:$A$3000,0)),"")</f>
        <v/>
      </c>
      <c r="F119" s="57" t="inlineStr">
        <is>
          <t>C002</t>
        </is>
      </c>
      <c r="G119" s="57">
        <f>IFERROR(INDEX(Contacts!$E$2:$E$3000,MATCH(F119,Contacts!$A$2:$A$3000,0)),"")</f>
        <v/>
      </c>
      <c r="H119" s="57" t="inlineStr">
        <is>
          <t>U002</t>
        </is>
      </c>
      <c r="I119" s="57">
        <f>IFERROR(INDEX(Commerciaux!$D$2:$D$3000,MATCH(H119,Commerciaux!$A$2:$A$3000,0)),"")</f>
        <v/>
      </c>
      <c r="J119" s="57" t="inlineStr">
        <is>
          <t>Visite de suivi</t>
        </is>
      </c>
      <c r="K119" s="40" t="inlineStr">
        <is>
          <t>Visite de suivi avec Kevin Lemaire. Revue des commandes en cours et des prévisions du trimestre sur les caisses carton ondulé personnalisées. Pas de difficulté particulière signalée. Kevin Lemaire évoque le renouvellement de l'accord-cadre étiquettes 2027.</t>
        </is>
      </c>
      <c r="L119" s="57" t="inlineStr">
        <is>
          <t>Neutre</t>
        </is>
      </c>
      <c r="M119" s="57" t="n"/>
      <c r="N119" s="57" t="inlineStr">
        <is>
          <t>Envoyer la documentation technique</t>
        </is>
      </c>
      <c r="O119" s="58" t="n">
        <v>46104</v>
      </c>
      <c r="P119" s="60" t="n">
        <v>90</v>
      </c>
      <c r="Q119" s="57" t="n"/>
    </row>
    <row r="120" ht="15" customHeight="1" s="34">
      <c r="A120" s="57" t="inlineStr">
        <is>
          <t>A0119</t>
        </is>
      </c>
      <c r="B120" s="58" t="n">
        <v>46087</v>
      </c>
      <c r="C120" s="57" t="inlineStr">
        <is>
          <t>Appel</t>
        </is>
      </c>
      <c r="D120" s="57" t="inlineStr">
        <is>
          <t>E022</t>
        </is>
      </c>
      <c r="E120" s="57">
        <f>IFERROR(INDEX(Entreprises!$B$2:$B$3000,MATCH(D120,Entreprises!$A$2:$A$3000,0)),"")</f>
        <v/>
      </c>
      <c r="F120" s="57" t="inlineStr">
        <is>
          <t>C036</t>
        </is>
      </c>
      <c r="G120" s="57">
        <f>IFERROR(INDEX(Contacts!$E$2:$E$3000,MATCH(F120,Contacts!$A$2:$A$3000,0)),"")</f>
        <v/>
      </c>
      <c r="H120" s="57" t="inlineStr">
        <is>
          <t>U006</t>
        </is>
      </c>
      <c r="I120" s="57">
        <f>IFERROR(INDEX(Commerciaux!$D$2:$D$3000,MATCH(H120,Commerciaux!$A$2:$A$3000,0)),"")</f>
        <v/>
      </c>
      <c r="J120" s="57" t="inlineStr">
        <is>
          <t>Suivi de livraison</t>
        </is>
      </c>
      <c r="K120" s="40" t="inlineStr">
        <is>
          <t>Appel de suivi après la dernière livraison. Patrick Renaud confirme la conformité des lots reçus.</t>
        </is>
      </c>
      <c r="L120" s="57" t="inlineStr">
        <is>
          <t>Neutre</t>
        </is>
      </c>
      <c r="M120" s="57" t="n"/>
      <c r="N120" s="57" t="n"/>
      <c r="O120" s="58" t="n"/>
      <c r="P120" s="60" t="n">
        <v>15</v>
      </c>
      <c r="Q120" s="57" t="n"/>
    </row>
    <row r="121" ht="35.05" customHeight="1" s="34">
      <c r="A121" s="57" t="inlineStr">
        <is>
          <t>A0120</t>
        </is>
      </c>
      <c r="B121" s="58" t="n">
        <v>46094</v>
      </c>
      <c r="C121" s="57" t="inlineStr">
        <is>
          <t>Visite terrain</t>
        </is>
      </c>
      <c r="D121" s="57" t="inlineStr">
        <is>
          <t>E012</t>
        </is>
      </c>
      <c r="E121" s="57">
        <f>IFERROR(INDEX(Entreprises!$B$2:$B$3000,MATCH(D121,Entreprises!$A$2:$A$3000,0)),"")</f>
        <v/>
      </c>
      <c r="F121" s="57" t="inlineStr">
        <is>
          <t>C020</t>
        </is>
      </c>
      <c r="G121" s="57">
        <f>IFERROR(INDEX(Contacts!$E$2:$E$3000,MATCH(F121,Contacts!$A$2:$A$3000,0)),"")</f>
        <v/>
      </c>
      <c r="H121" s="57" t="inlineStr">
        <is>
          <t>U004</t>
        </is>
      </c>
      <c r="I121" s="57">
        <f>IFERROR(INDEX(Commerciaux!$D$2:$D$3000,MATCH(H121,Commerciaux!$A$2:$A$3000,0)),"")</f>
        <v/>
      </c>
      <c r="J121" s="57" t="inlineStr">
        <is>
          <t>Visite de la ligne de conditionnement</t>
        </is>
      </c>
      <c r="K121" s="40" t="inlineStr">
        <is>
          <t>Visite du site avec Mathieu Faure et l'équipe de production. Observation de la ligne de conditionnement ; points d'amélioration identifiés sur les changements de format. Intérêt exprimé pour la sérialisation des kits de diagnostic pour l'export.</t>
        </is>
      </c>
      <c r="L121" s="57" t="inlineStr">
        <is>
          <t>Positif</t>
        </is>
      </c>
      <c r="M121" s="57" t="n"/>
      <c r="N121" s="57" t="inlineStr">
        <is>
          <t>Planifier une visite de site</t>
        </is>
      </c>
      <c r="O121" s="58" t="n">
        <v>46104</v>
      </c>
      <c r="P121" s="60" t="n">
        <v>75</v>
      </c>
      <c r="Q121" s="57" t="n"/>
    </row>
    <row r="122" ht="15" customHeight="1" s="34">
      <c r="A122" s="57" t="inlineStr">
        <is>
          <t>A0121</t>
        </is>
      </c>
      <c r="B122" s="58" t="n">
        <v>46100</v>
      </c>
      <c r="C122" s="57" t="inlineStr">
        <is>
          <t>E-mail</t>
        </is>
      </c>
      <c r="D122" s="57" t="inlineStr">
        <is>
          <t>E017</t>
        </is>
      </c>
      <c r="E122" s="57">
        <f>IFERROR(INDEX(Entreprises!$B$2:$B$3000,MATCH(D122,Entreprises!$A$2:$A$3000,0)),"")</f>
        <v/>
      </c>
      <c r="F122" s="57" t="inlineStr">
        <is>
          <t>C028</t>
        </is>
      </c>
      <c r="G122" s="57">
        <f>IFERROR(INDEX(Contacts!$E$2:$E$3000,MATCH(F122,Contacts!$A$2:$A$3000,0)),"")</f>
        <v/>
      </c>
      <c r="H122" s="57" t="inlineStr">
        <is>
          <t>U005</t>
        </is>
      </c>
      <c r="I122" s="57">
        <f>IFERROR(INDEX(Commerciaux!$D$2:$D$3000,MATCH(H122,Commerciaux!$A$2:$A$3000,0)),"")</f>
        <v/>
      </c>
      <c r="J122" s="57" t="inlineStr">
        <is>
          <t>Envoi de fiche technique</t>
        </is>
      </c>
      <c r="K122" s="40" t="inlineStr">
        <is>
          <t>Envoi à Romain Arnaud de la fiche technique et des certificats des étuis spiritueux luxe.</t>
        </is>
      </c>
      <c r="L122" s="57" t="inlineStr">
        <is>
          <t>Neutre</t>
        </is>
      </c>
      <c r="M122" s="57" t="n"/>
      <c r="N122" s="57" t="n"/>
      <c r="O122" s="58" t="n"/>
      <c r="P122" s="60" t="n"/>
      <c r="Q122" s="57" t="n"/>
    </row>
    <row r="123" ht="23.85" customHeight="1" s="34">
      <c r="A123" s="57" t="inlineStr">
        <is>
          <t>A0122</t>
        </is>
      </c>
      <c r="B123" s="58" t="n">
        <v>46100</v>
      </c>
      <c r="C123" s="57" t="inlineStr">
        <is>
          <t>E-mail</t>
        </is>
      </c>
      <c r="D123" s="57" t="inlineStr">
        <is>
          <t>E030</t>
        </is>
      </c>
      <c r="E123" s="57">
        <f>IFERROR(INDEX(Entreprises!$B$2:$B$3000,MATCH(D123,Entreprises!$A$2:$A$3000,0)),"")</f>
        <v/>
      </c>
      <c r="F123" s="57" t="inlineStr">
        <is>
          <t>C049</t>
        </is>
      </c>
      <c r="G123" s="57">
        <f>IFERROR(INDEX(Contacts!$E$2:$E$3000,MATCH(F123,Contacts!$A$2:$A$3000,0)),"")</f>
        <v/>
      </c>
      <c r="H123" s="57" t="inlineStr">
        <is>
          <t>U007</t>
        </is>
      </c>
      <c r="I123" s="57">
        <f>IFERROR(INDEX(Commerciaux!$D$2:$D$3000,MATCH(H123,Commerciaux!$A$2:$A$3000,0)),"")</f>
        <v/>
      </c>
      <c r="J123" s="57" t="inlineStr">
        <is>
          <t>Envoi de fiche technique</t>
        </is>
      </c>
      <c r="K123" s="40" t="inlineStr">
        <is>
          <t>Envoi à Nadia Haddad de la fiche technique et des certificats des emballages éco-conçus mono-matériau.</t>
        </is>
      </c>
      <c r="L123" s="57" t="inlineStr">
        <is>
          <t>Neutre</t>
        </is>
      </c>
      <c r="M123" s="57" t="n"/>
      <c r="N123" s="57" t="n"/>
      <c r="O123" s="58" t="n"/>
      <c r="P123" s="60" t="n"/>
      <c r="Q123" s="57" t="n"/>
    </row>
    <row r="124" ht="23.85" customHeight="1" s="34">
      <c r="A124" s="57" t="inlineStr">
        <is>
          <t>A0123</t>
        </is>
      </c>
      <c r="B124" s="58" t="n">
        <v>46104</v>
      </c>
      <c r="C124" s="57" t="inlineStr">
        <is>
          <t>Réunion visio</t>
        </is>
      </c>
      <c r="D124" s="57" t="inlineStr">
        <is>
          <t>E026</t>
        </is>
      </c>
      <c r="E124" s="57">
        <f>IFERROR(INDEX(Entreprises!$B$2:$B$3000,MATCH(D124,Entreprises!$A$2:$A$3000,0)),"")</f>
        <v/>
      </c>
      <c r="F124" s="57" t="inlineStr">
        <is>
          <t>C042</t>
        </is>
      </c>
      <c r="G124" s="57">
        <f>IFERROR(INDEX(Contacts!$E$2:$E$3000,MATCH(F124,Contacts!$A$2:$A$3000,0)),"")</f>
        <v/>
      </c>
      <c r="H124" s="57" t="inlineStr">
        <is>
          <t>U007</t>
        </is>
      </c>
      <c r="I124" s="57">
        <f>IFERROR(INDEX(Commerciaux!$D$2:$D$3000,MATCH(H124,Commerciaux!$A$2:$A$3000,0)),"")</f>
        <v/>
      </c>
      <c r="J124" s="57" t="inlineStr">
        <is>
          <t>Cadrage du besoin</t>
        </is>
      </c>
      <c r="K124" s="40" t="inlineStr">
        <is>
          <t>Réunion Teams avec Véronique Bertin pour cadrer le besoin concernant la réduction des emballages secondaires. Liste des prérequis techniques partagée.</t>
        </is>
      </c>
      <c r="L124" s="57" t="inlineStr">
        <is>
          <t>Neutre</t>
        </is>
      </c>
      <c r="M124" s="57" t="n"/>
      <c r="N124" s="57" t="n"/>
      <c r="O124" s="58" t="n"/>
      <c r="P124" s="60" t="n">
        <v>45</v>
      </c>
      <c r="Q124" s="57" t="n"/>
    </row>
    <row r="125" ht="15" customHeight="1" s="34">
      <c r="A125" s="57" t="inlineStr">
        <is>
          <t>A0124</t>
        </is>
      </c>
      <c r="B125" s="58" t="n">
        <v>46104</v>
      </c>
      <c r="C125" s="57" t="inlineStr">
        <is>
          <t>Appel</t>
        </is>
      </c>
      <c r="D125" s="57" t="inlineStr">
        <is>
          <t>E030</t>
        </is>
      </c>
      <c r="E125" s="57">
        <f>IFERROR(INDEX(Entreprises!$B$2:$B$3000,MATCH(D125,Entreprises!$A$2:$A$3000,0)),"")</f>
        <v/>
      </c>
      <c r="F125" s="57" t="inlineStr">
        <is>
          <t>C050</t>
        </is>
      </c>
      <c r="G125" s="57">
        <f>IFERROR(INDEX(Contacts!$E$2:$E$3000,MATCH(F125,Contacts!$A$2:$A$3000,0)),"")</f>
        <v/>
      </c>
      <c r="H125" s="57" t="inlineStr">
        <is>
          <t>U007</t>
        </is>
      </c>
      <c r="I125" s="57">
        <f>IFERROR(INDEX(Commerciaux!$D$2:$D$3000,MATCH(H125,Commerciaux!$A$2:$A$3000,0)),"")</f>
        <v/>
      </c>
      <c r="J125" s="57" t="inlineStr">
        <is>
          <t>Suivi de livraison</t>
        </is>
      </c>
      <c r="K125" s="40" t="inlineStr">
        <is>
          <t>Appel de suivi après la dernière livraison. Pierre-Yves Guérin confirme la conformité des lots reçus.</t>
        </is>
      </c>
      <c r="L125" s="57" t="inlineStr">
        <is>
          <t>Neutre</t>
        </is>
      </c>
      <c r="M125" s="57" t="n"/>
      <c r="N125" s="57" t="n"/>
      <c r="O125" s="58" t="n"/>
      <c r="P125" s="60" t="n">
        <v>20</v>
      </c>
      <c r="Q125" s="57" t="n"/>
    </row>
    <row r="126" ht="23.85" customHeight="1" s="34">
      <c r="A126" s="57" t="inlineStr">
        <is>
          <t>A0125</t>
        </is>
      </c>
      <c r="B126" s="58" t="n">
        <v>46108</v>
      </c>
      <c r="C126" s="57" t="inlineStr">
        <is>
          <t>Appel</t>
        </is>
      </c>
      <c r="D126" s="57" t="inlineStr">
        <is>
          <t>E008</t>
        </is>
      </c>
      <c r="E126" s="57">
        <f>IFERROR(INDEX(Entreprises!$B$2:$B$3000,MATCH(D126,Entreprises!$A$2:$A$3000,0)),"")</f>
        <v/>
      </c>
      <c r="F126" s="57" t="inlineStr">
        <is>
          <t>C013</t>
        </is>
      </c>
      <c r="G126" s="57">
        <f>IFERROR(INDEX(Contacts!$E$2:$E$3000,MATCH(F126,Contacts!$A$2:$A$3000,0)),"")</f>
        <v/>
      </c>
      <c r="H126" s="57" t="inlineStr">
        <is>
          <t>U003</t>
        </is>
      </c>
      <c r="I126" s="57">
        <f>IFERROR(INDEX(Commerciaux!$D$2:$D$3000,MATCH(H126,Commerciaux!$A$2:$A$3000,0)),"")</f>
        <v/>
      </c>
      <c r="J126" s="57" t="inlineStr">
        <is>
          <t>Point d'avancement projet</t>
        </is>
      </c>
      <c r="K126" s="40" t="inlineStr">
        <is>
          <t>Échange téléphonique avec Bastien Collet sur le calendrier concernant la consultation sur les étuis allégés 2027. Décision interne attendue dans les prochaines semaines.</t>
        </is>
      </c>
      <c r="L126" s="57" t="inlineStr">
        <is>
          <t>Positif</t>
        </is>
      </c>
      <c r="M126" s="57" t="n"/>
      <c r="N126" s="57" t="inlineStr">
        <is>
          <t>Relancer pour obtenir un retour</t>
        </is>
      </c>
      <c r="O126" s="58" t="n">
        <v>46126</v>
      </c>
      <c r="P126" s="60" t="n">
        <v>5</v>
      </c>
      <c r="Q126" s="57" t="n"/>
    </row>
    <row r="127" ht="23.85" customHeight="1" s="34">
      <c r="A127" s="57" t="inlineStr">
        <is>
          <t>A0126</t>
        </is>
      </c>
      <c r="B127" s="58" t="n">
        <v>46111</v>
      </c>
      <c r="C127" s="57" t="inlineStr">
        <is>
          <t>Appel</t>
        </is>
      </c>
      <c r="D127" s="57" t="inlineStr">
        <is>
          <t>E014</t>
        </is>
      </c>
      <c r="E127" s="57">
        <f>IFERROR(INDEX(Entreprises!$B$2:$B$3000,MATCH(D127,Entreprises!$A$2:$A$3000,0)),"")</f>
        <v/>
      </c>
      <c r="F127" s="57" t="inlineStr">
        <is>
          <t>C023</t>
        </is>
      </c>
      <c r="G127" s="57">
        <f>IFERROR(INDEX(Contacts!$E$2:$E$3000,MATCH(F127,Contacts!$A$2:$A$3000,0)),"")</f>
        <v/>
      </c>
      <c r="H127" s="57" t="inlineStr">
        <is>
          <t>U004</t>
        </is>
      </c>
      <c r="I127" s="57">
        <f>IFERROR(INDEX(Commerciaux!$D$2:$D$3000,MATCH(H127,Commerciaux!$A$2:$A$3000,0)),"")</f>
        <v/>
      </c>
      <c r="J127" s="57" t="inlineStr">
        <is>
          <t>Ajustement de commande</t>
        </is>
      </c>
      <c r="K127" s="40" t="inlineStr">
        <is>
          <t>Appel de Émilie Gauthier pour ajuster les quantités de la prochaine commande de caisses carton ondulé personnalisées. Modification prise en compte.</t>
        </is>
      </c>
      <c r="L127" s="57" t="inlineStr">
        <is>
          <t>Neutre</t>
        </is>
      </c>
      <c r="M127" s="57" t="n"/>
      <c r="N127" s="57" t="inlineStr">
        <is>
          <t>Envoyer la documentation technique</t>
        </is>
      </c>
      <c r="O127" s="58" t="n">
        <v>46119</v>
      </c>
      <c r="P127" s="60" t="n">
        <v>30</v>
      </c>
      <c r="Q127" s="57" t="n"/>
    </row>
    <row r="128" ht="35.05" customHeight="1" s="34">
      <c r="A128" s="57" t="inlineStr">
        <is>
          <t>A0127</t>
        </is>
      </c>
      <c r="B128" s="58" t="n">
        <v>46111</v>
      </c>
      <c r="C128" s="57" t="inlineStr">
        <is>
          <t>Visite terrain</t>
        </is>
      </c>
      <c r="D128" s="57" t="inlineStr">
        <is>
          <t>E017</t>
        </is>
      </c>
      <c r="E128" s="57">
        <f>IFERROR(INDEX(Entreprises!$B$2:$B$3000,MATCH(D128,Entreprises!$A$2:$A$3000,0)),"")</f>
        <v/>
      </c>
      <c r="F128" s="57" t="inlineStr">
        <is>
          <t>C027</t>
        </is>
      </c>
      <c r="G128" s="57">
        <f>IFERROR(INDEX(Contacts!$E$2:$E$3000,MATCH(F128,Contacts!$A$2:$A$3000,0)),"")</f>
        <v/>
      </c>
      <c r="H128" s="57" t="inlineStr">
        <is>
          <t>U005</t>
        </is>
      </c>
      <c r="I128" s="57">
        <f>IFERROR(INDEX(Commerciaux!$D$2:$D$3000,MATCH(H128,Commerciaux!$A$2:$A$3000,0)),"")</f>
        <v/>
      </c>
      <c r="J128" s="57" t="inlineStr">
        <is>
          <t>Visite de la ligne de conditionnement</t>
        </is>
      </c>
      <c r="K128" s="40" t="inlineStr">
        <is>
          <t>Visite du site avec Céline Barbier et l'équipe de production. Observation de la ligne de conditionnement ; points d'amélioration identifiés sur les changements de format. Intérêt exprimé pour le coffret réutilisable de la gamme premium.</t>
        </is>
      </c>
      <c r="L128" s="57" t="inlineStr">
        <is>
          <t>Neutre</t>
        </is>
      </c>
      <c r="M128" s="57" t="n"/>
      <c r="N128" s="57" t="inlineStr">
        <is>
          <t>Transmettre des échantillons</t>
        </is>
      </c>
      <c r="O128" s="58" t="n">
        <v>46127</v>
      </c>
      <c r="P128" s="60" t="n">
        <v>90</v>
      </c>
      <c r="Q128" s="57" t="n"/>
    </row>
    <row r="129" ht="35.05" customHeight="1" s="34">
      <c r="A129" s="57" t="inlineStr">
        <is>
          <t>A0128</t>
        </is>
      </c>
      <c r="B129" s="58" t="n">
        <v>46118</v>
      </c>
      <c r="C129" s="57" t="inlineStr">
        <is>
          <t>Visite terrain</t>
        </is>
      </c>
      <c r="D129" s="57" t="inlineStr">
        <is>
          <t>E002</t>
        </is>
      </c>
      <c r="E129" s="57">
        <f>IFERROR(INDEX(Entreprises!$B$2:$B$3000,MATCH(D129,Entreprises!$A$2:$A$3000,0)),"")</f>
        <v/>
      </c>
      <c r="F129" s="57" t="inlineStr">
        <is>
          <t>C003</t>
        </is>
      </c>
      <c r="G129" s="57">
        <f>IFERROR(INDEX(Contacts!$E$2:$E$3000,MATCH(F129,Contacts!$A$2:$A$3000,0)),"")</f>
        <v/>
      </c>
      <c r="H129" s="57" t="inlineStr">
        <is>
          <t>U002</t>
        </is>
      </c>
      <c r="I129" s="57">
        <f>IFERROR(INDEX(Commerciaux!$D$2:$D$3000,MATCH(H129,Commerciaux!$A$2:$A$3000,0)),"")</f>
        <v/>
      </c>
      <c r="J129" s="57" t="inlineStr">
        <is>
          <t>Visite de suivi</t>
        </is>
      </c>
      <c r="K129" s="40" t="inlineStr">
        <is>
          <t>Visite de suivi avec Aurélie Vasseur. Revue des commandes en cours et des prévisions du trimestre sur les caisses carton ondulé personnalisées. Pas de difficulté particulière signalée. Aurélie Vasseur évoque l'automatisation de la mise en carton de la ligne levure sèche.</t>
        </is>
      </c>
      <c r="L129" s="57" t="inlineStr">
        <is>
          <t>Négatif</t>
        </is>
      </c>
      <c r="M129" s="57" t="n"/>
      <c r="N129" s="57" t="n"/>
      <c r="O129" s="58" t="n"/>
      <c r="P129" s="60" t="n">
        <v>90</v>
      </c>
      <c r="Q129" s="57" t="n"/>
    </row>
    <row r="130" ht="23.85" customHeight="1" s="34">
      <c r="A130" s="57" t="inlineStr">
        <is>
          <t>A0129</t>
        </is>
      </c>
      <c r="B130" s="58" t="n">
        <v>46122</v>
      </c>
      <c r="C130" s="57" t="inlineStr">
        <is>
          <t>Réunion visio</t>
        </is>
      </c>
      <c r="D130" s="57" t="inlineStr">
        <is>
          <t>E001</t>
        </is>
      </c>
      <c r="E130" s="57">
        <f>IFERROR(INDEX(Entreprises!$B$2:$B$3000,MATCH(D130,Entreprises!$A$2:$A$3000,0)),"")</f>
        <v/>
      </c>
      <c r="F130" s="57" t="inlineStr">
        <is>
          <t>C002</t>
        </is>
      </c>
      <c r="G130" s="57">
        <f>IFERROR(INDEX(Contacts!$E$2:$E$3000,MATCH(F130,Contacts!$A$2:$A$3000,0)),"")</f>
        <v/>
      </c>
      <c r="H130" s="57" t="inlineStr">
        <is>
          <t>U002</t>
        </is>
      </c>
      <c r="I130" s="57">
        <f>IFERROR(INDEX(Commerciaux!$D$2:$D$3000,MATCH(H130,Commerciaux!$A$2:$A$3000,0)),"")</f>
        <v/>
      </c>
      <c r="J130" s="57" t="inlineStr">
        <is>
          <t>Cadrage emballages mono-matériau</t>
        </is>
      </c>
      <c r="K130" s="40" t="inlineStr">
        <is>
          <t>Réunion Teams avec Kevin Lemaire pour cadrer le passage au mono-matériau sur la gamme bio. Contraintes : tenue en autoclave, compatibilité avec l'étiqueteuse actuelle, papier certifié.</t>
        </is>
      </c>
      <c r="L130" s="57" t="inlineStr">
        <is>
          <t>Positif</t>
        </is>
      </c>
      <c r="M130" s="57" t="inlineStr">
        <is>
          <t>T002</t>
        </is>
      </c>
      <c r="N130" s="57" t="inlineStr">
        <is>
          <t>Envoyer les fiches techniques papier certifié</t>
        </is>
      </c>
      <c r="O130" s="58" t="n">
        <v>46136</v>
      </c>
      <c r="P130" s="60" t="n">
        <v>45</v>
      </c>
      <c r="Q130" s="57" t="n"/>
    </row>
    <row r="131" ht="23.85" customHeight="1" s="34">
      <c r="A131" s="57" t="inlineStr">
        <is>
          <t>A0130</t>
        </is>
      </c>
      <c r="B131" s="58" t="n">
        <v>46127</v>
      </c>
      <c r="C131" s="57" t="inlineStr">
        <is>
          <t>Appel</t>
        </is>
      </c>
      <c r="D131" s="57" t="inlineStr">
        <is>
          <t>E002</t>
        </is>
      </c>
      <c r="E131" s="57">
        <f>IFERROR(INDEX(Entreprises!$B$2:$B$3000,MATCH(D131,Entreprises!$A$2:$A$3000,0)),"")</f>
        <v/>
      </c>
      <c r="F131" s="57" t="inlineStr">
        <is>
          <t>C003</t>
        </is>
      </c>
      <c r="G131" s="57">
        <f>IFERROR(INDEX(Contacts!$E$2:$E$3000,MATCH(F131,Contacts!$A$2:$A$3000,0)),"")</f>
        <v/>
      </c>
      <c r="H131" s="57" t="inlineStr">
        <is>
          <t>U002</t>
        </is>
      </c>
      <c r="I131" s="57">
        <f>IFERROR(INDEX(Commerciaux!$D$2:$D$3000,MATCH(H131,Commerciaux!$A$2:$A$3000,0)),"")</f>
        <v/>
      </c>
      <c r="J131" s="57" t="inlineStr">
        <is>
          <t>Ajustement de commande</t>
        </is>
      </c>
      <c r="K131" s="40" t="inlineStr">
        <is>
          <t>Appel de Aurélie Vasseur pour ajuster les quantités de la prochaine commande d'étiquettes adhésives haute définition. Modification prise en compte.</t>
        </is>
      </c>
      <c r="L131" s="57" t="inlineStr">
        <is>
          <t>Positif</t>
        </is>
      </c>
      <c r="M131" s="57" t="n"/>
      <c r="N131" s="57" t="n"/>
      <c r="O131" s="58" t="n"/>
      <c r="P131" s="60" t="n">
        <v>20</v>
      </c>
      <c r="Q131" s="57" t="n"/>
    </row>
    <row r="132" ht="35.05" customHeight="1" s="34">
      <c r="A132" s="57" t="inlineStr">
        <is>
          <t>A0131</t>
        </is>
      </c>
      <c r="B132" s="58" t="n">
        <v>46129</v>
      </c>
      <c r="C132" s="57" t="inlineStr">
        <is>
          <t>Visite terrain</t>
        </is>
      </c>
      <c r="D132" s="57" t="inlineStr">
        <is>
          <t>E018</t>
        </is>
      </c>
      <c r="E132" s="57">
        <f>IFERROR(INDEX(Entreprises!$B$2:$B$3000,MATCH(D132,Entreprises!$A$2:$A$3000,0)),"")</f>
        <v/>
      </c>
      <c r="F132" s="57" t="inlineStr">
        <is>
          <t>C029</t>
        </is>
      </c>
      <c r="G132" s="57">
        <f>IFERROR(INDEX(Contacts!$E$2:$E$3000,MATCH(F132,Contacts!$A$2:$A$3000,0)),"")</f>
        <v/>
      </c>
      <c r="H132" s="57" t="inlineStr">
        <is>
          <t>U005</t>
        </is>
      </c>
      <c r="I132" s="57">
        <f>IFERROR(INDEX(Commerciaux!$D$2:$D$3000,MATCH(H132,Commerciaux!$A$2:$A$3000,0)),"")</f>
        <v/>
      </c>
      <c r="J132" s="57" t="inlineStr">
        <is>
          <t>Visite de suivi</t>
        </is>
      </c>
      <c r="K132" s="40" t="inlineStr">
        <is>
          <t>Visite de suivi avec Guillaume Petit. Revue des commandes en cours et des prévisions du trimestre sur les étuis spiritueux luxe. Pas de difficulté particulière signalée. Guillaume Petit évoque les étuis de l'édition limitée.</t>
        </is>
      </c>
      <c r="L132" s="57" t="inlineStr">
        <is>
          <t>Neutre</t>
        </is>
      </c>
      <c r="M132" s="57" t="n"/>
      <c r="N132" s="57" t="n"/>
      <c r="O132" s="58" t="n"/>
      <c r="P132" s="60" t="n">
        <v>60</v>
      </c>
      <c r="Q132" s="57" t="n"/>
    </row>
    <row r="133" ht="23.85" customHeight="1" s="34">
      <c r="A133" s="57" t="inlineStr">
        <is>
          <t>A0132</t>
        </is>
      </c>
      <c r="B133" s="58" t="n">
        <v>46133</v>
      </c>
      <c r="C133" s="57" t="inlineStr">
        <is>
          <t>E-mail</t>
        </is>
      </c>
      <c r="D133" s="57" t="inlineStr">
        <is>
          <t>E024</t>
        </is>
      </c>
      <c r="E133" s="57">
        <f>IFERROR(INDEX(Entreprises!$B$2:$B$3000,MATCH(D133,Entreprises!$A$2:$A$3000,0)),"")</f>
        <v/>
      </c>
      <c r="F133" s="57" t="inlineStr">
        <is>
          <t>C039</t>
        </is>
      </c>
      <c r="G133" s="57">
        <f>IFERROR(INDEX(Contacts!$E$2:$E$3000,MATCH(F133,Contacts!$A$2:$A$3000,0)),"")</f>
        <v/>
      </c>
      <c r="H133" s="57" t="inlineStr">
        <is>
          <t>U006</t>
        </is>
      </c>
      <c r="I133" s="57">
        <f>IFERROR(INDEX(Commerciaux!$D$2:$D$3000,MATCH(H133,Commerciaux!$A$2:$A$3000,0)),"")</f>
        <v/>
      </c>
      <c r="J133" s="57" t="inlineStr">
        <is>
          <t>Envoi de fiche technique</t>
        </is>
      </c>
      <c r="K133" s="40" t="inlineStr">
        <is>
          <t>Envoi à Agnès Picard de la fiche technique et des certificats des étuis carton pharmaceutiques imprimés.</t>
        </is>
      </c>
      <c r="L133" s="57" t="inlineStr">
        <is>
          <t>Neutre</t>
        </is>
      </c>
      <c r="M133" s="57" t="n"/>
      <c r="N133" s="57" t="n"/>
      <c r="O133" s="58" t="n"/>
      <c r="P133" s="60" t="n"/>
      <c r="Q133" s="57" t="n"/>
    </row>
    <row r="134" ht="23.85" customHeight="1" s="34">
      <c r="A134" s="57" t="inlineStr">
        <is>
          <t>A0133</t>
        </is>
      </c>
      <c r="B134" s="58" t="n">
        <v>46134</v>
      </c>
      <c r="C134" s="57" t="inlineStr">
        <is>
          <t>Appel</t>
        </is>
      </c>
      <c r="D134" s="57" t="inlineStr">
        <is>
          <t>E002</t>
        </is>
      </c>
      <c r="E134" s="57">
        <f>IFERROR(INDEX(Entreprises!$B$2:$B$3000,MATCH(D134,Entreprises!$A$2:$A$3000,0)),"")</f>
        <v/>
      </c>
      <c r="F134" s="57" t="inlineStr">
        <is>
          <t>C003</t>
        </is>
      </c>
      <c r="G134" s="57">
        <f>IFERROR(INDEX(Contacts!$E$2:$E$3000,MATCH(F134,Contacts!$A$2:$A$3000,0)),"")</f>
        <v/>
      </c>
      <c r="H134" s="57" t="inlineStr">
        <is>
          <t>U002</t>
        </is>
      </c>
      <c r="I134" s="57">
        <f>IFERROR(INDEX(Commerciaux!$D$2:$D$3000,MATCH(H134,Commerciaux!$A$2:$A$3000,0)),"")</f>
        <v/>
      </c>
      <c r="J134" s="57" t="inlineStr">
        <is>
          <t>Relance proposition</t>
        </is>
      </c>
      <c r="K134" s="40" t="inlineStr">
        <is>
          <t>Appel de relance sur la dernière proposition. Aurélie Vasseur demande quelques jours pour consolider les retours internes.</t>
        </is>
      </c>
      <c r="L134" s="57" t="inlineStr">
        <is>
          <t>Positif</t>
        </is>
      </c>
      <c r="M134" s="57" t="n"/>
      <c r="N134" s="57" t="inlineStr">
        <is>
          <t>Envoyer le devis</t>
        </is>
      </c>
      <c r="O134" s="58" t="n">
        <v>46148</v>
      </c>
      <c r="P134" s="60" t="n">
        <v>30</v>
      </c>
      <c r="Q134" s="57" t="n"/>
    </row>
    <row r="135" ht="23.85" customHeight="1" s="34">
      <c r="A135" s="57" t="inlineStr">
        <is>
          <t>A0134</t>
        </is>
      </c>
      <c r="B135" s="58" t="n">
        <v>46135</v>
      </c>
      <c r="C135" s="57" t="inlineStr">
        <is>
          <t>E-mail</t>
        </is>
      </c>
      <c r="D135" s="57" t="inlineStr">
        <is>
          <t>E024</t>
        </is>
      </c>
      <c r="E135" s="57">
        <f>IFERROR(INDEX(Entreprises!$B$2:$B$3000,MATCH(D135,Entreprises!$A$2:$A$3000,0)),"")</f>
        <v/>
      </c>
      <c r="F135" s="57" t="inlineStr">
        <is>
          <t>C039</t>
        </is>
      </c>
      <c r="G135" s="57">
        <f>IFERROR(INDEX(Contacts!$E$2:$E$3000,MATCH(F135,Contacts!$A$2:$A$3000,0)),"")</f>
        <v/>
      </c>
      <c r="H135" s="57" t="inlineStr">
        <is>
          <t>U006</t>
        </is>
      </c>
      <c r="I135" s="57">
        <f>IFERROR(INDEX(Commerciaux!$D$2:$D$3000,MATCH(H135,Commerciaux!$A$2:$A$3000,0)),"")</f>
        <v/>
      </c>
      <c r="J135" s="57" t="inlineStr">
        <is>
          <t>Envoi du planning</t>
        </is>
      </c>
      <c r="K135" s="40" t="inlineStr">
        <is>
          <t>Envoi à Agnès Picard du planning prévisionnel et des points ouverts concernant l'appel d'offres notices et étuis.</t>
        </is>
      </c>
      <c r="L135" s="57" t="inlineStr">
        <is>
          <t>Neutre</t>
        </is>
      </c>
      <c r="M135" s="57" t="n"/>
      <c r="N135" s="57" t="n"/>
      <c r="O135" s="58" t="n"/>
      <c r="P135" s="60" t="n"/>
      <c r="Q135" s="57" t="n"/>
    </row>
    <row r="136" ht="35.05" customHeight="1" s="34">
      <c r="A136" s="57" t="inlineStr">
        <is>
          <t>A0135</t>
        </is>
      </c>
      <c r="B136" s="58" t="n">
        <v>46140</v>
      </c>
      <c r="C136" s="57" t="inlineStr">
        <is>
          <t>Visite terrain</t>
        </is>
      </c>
      <c r="D136" s="57" t="inlineStr">
        <is>
          <t>E003</t>
        </is>
      </c>
      <c r="E136" s="57">
        <f>IFERROR(INDEX(Entreprises!$B$2:$B$3000,MATCH(D136,Entreprises!$A$2:$A$3000,0)),"")</f>
        <v/>
      </c>
      <c r="F136" s="57" t="inlineStr">
        <is>
          <t>C006</t>
        </is>
      </c>
      <c r="G136" s="57">
        <f>IFERROR(INDEX(Contacts!$E$2:$E$3000,MATCH(F136,Contacts!$A$2:$A$3000,0)),"")</f>
        <v/>
      </c>
      <c r="H136" s="57" t="inlineStr">
        <is>
          <t>U002</t>
        </is>
      </c>
      <c r="I136" s="57">
        <f>IFERROR(INDEX(Commerciaux!$D$2:$D$3000,MATCH(H136,Commerciaux!$A$2:$A$3000,0)),"")</f>
        <v/>
      </c>
      <c r="J136" s="57" t="inlineStr">
        <is>
          <t>Visite de suivi</t>
        </is>
      </c>
      <c r="K136" s="40" t="inlineStr">
        <is>
          <t>Visite de suivi avec Olivier Chen. Revue des commandes en cours et des prévisions du trimestre sur les étuis carton pharmaceutiques imprimés. Pas de difficulté particulière signalée. Olivier Chen évoque la refonte des notices multilingues.</t>
        </is>
      </c>
      <c r="L136" s="57" t="inlineStr">
        <is>
          <t>Neutre</t>
        </is>
      </c>
      <c r="M136" s="57" t="n"/>
      <c r="N136" s="57" t="n"/>
      <c r="O136" s="58" t="n"/>
      <c r="P136" s="60" t="n">
        <v>60</v>
      </c>
      <c r="Q136" s="57" t="n"/>
    </row>
    <row r="137" ht="23.85" customHeight="1" s="34">
      <c r="A137" s="57" t="inlineStr">
        <is>
          <t>A0136</t>
        </is>
      </c>
      <c r="B137" s="58" t="n">
        <v>46141</v>
      </c>
      <c r="C137" s="57" t="inlineStr">
        <is>
          <t>Réunion visio</t>
        </is>
      </c>
      <c r="D137" s="57" t="inlineStr">
        <is>
          <t>E012</t>
        </is>
      </c>
      <c r="E137" s="57">
        <f>IFERROR(INDEX(Entreprises!$B$2:$B$3000,MATCH(D137,Entreprises!$A$2:$A$3000,0)),"")</f>
        <v/>
      </c>
      <c r="F137" s="57" t="inlineStr">
        <is>
          <t>C019</t>
        </is>
      </c>
      <c r="G137" s="57">
        <f>IFERROR(INDEX(Contacts!$E$2:$E$3000,MATCH(F137,Contacts!$A$2:$A$3000,0)),"")</f>
        <v/>
      </c>
      <c r="H137" s="57" t="inlineStr">
        <is>
          <t>U004</t>
        </is>
      </c>
      <c r="I137" s="57">
        <f>IFERROR(INDEX(Commerciaux!$D$2:$D$3000,MATCH(H137,Commerciaux!$A$2:$A$3000,0)),"")</f>
        <v/>
      </c>
      <c r="J137" s="57" t="inlineStr">
        <is>
          <t>Cadrage du besoin</t>
        </is>
      </c>
      <c r="K137" s="40" t="inlineStr">
        <is>
          <t>Réunion Teams avec Isabelle Roche pour cadrer le besoin concernant la sérialisation des kits de diagnostic pour l'export. Liste des prérequis techniques partagée.</t>
        </is>
      </c>
      <c r="L137" s="57" t="inlineStr">
        <is>
          <t>Positif</t>
        </is>
      </c>
      <c r="M137" s="57" t="n"/>
      <c r="N137" s="57" t="n"/>
      <c r="O137" s="58" t="n"/>
      <c r="P137" s="60" t="n">
        <v>60</v>
      </c>
      <c r="Q137" s="57" t="n"/>
    </row>
    <row r="138" ht="15" customHeight="1" s="34">
      <c r="A138" s="57" t="inlineStr">
        <is>
          <t>A0137</t>
        </is>
      </c>
      <c r="B138" s="58" t="n">
        <v>46143</v>
      </c>
      <c r="C138" s="57" t="inlineStr">
        <is>
          <t>E-mail</t>
        </is>
      </c>
      <c r="D138" s="57" t="inlineStr">
        <is>
          <t>E022</t>
        </is>
      </c>
      <c r="E138" s="57">
        <f>IFERROR(INDEX(Entreprises!$B$2:$B$3000,MATCH(D138,Entreprises!$A$2:$A$3000,0)),"")</f>
        <v/>
      </c>
      <c r="F138" s="57" t="inlineStr">
        <is>
          <t>C036</t>
        </is>
      </c>
      <c r="G138" s="57">
        <f>IFERROR(INDEX(Contacts!$E$2:$E$3000,MATCH(F138,Contacts!$A$2:$A$3000,0)),"")</f>
        <v/>
      </c>
      <c r="H138" s="57" t="inlineStr">
        <is>
          <t>U006</t>
        </is>
      </c>
      <c r="I138" s="57">
        <f>IFERROR(INDEX(Commerciaux!$D$2:$D$3000,MATCH(H138,Commerciaux!$A$2:$A$3000,0)),"")</f>
        <v/>
      </c>
      <c r="J138" s="57" t="inlineStr">
        <is>
          <t>Demande de devis</t>
        </is>
      </c>
      <c r="K138" s="40" t="inlineStr">
        <is>
          <t>Patrick Renaud demande un devis complémentaire pour une série courte d'étiquettes d'inviolabilité.</t>
        </is>
      </c>
      <c r="L138" s="57" t="inlineStr">
        <is>
          <t>À relancer</t>
        </is>
      </c>
      <c r="M138" s="57" t="n"/>
      <c r="N138" s="57" t="n"/>
      <c r="O138" s="58" t="n"/>
      <c r="P138" s="60" t="n"/>
      <c r="Q138" s="57" t="n"/>
    </row>
    <row r="139" ht="23.85" customHeight="1" s="34">
      <c r="A139" s="57" t="inlineStr">
        <is>
          <t>A0138</t>
        </is>
      </c>
      <c r="B139" s="58" t="n">
        <v>46143</v>
      </c>
      <c r="C139" s="57" t="inlineStr">
        <is>
          <t>Appel</t>
        </is>
      </c>
      <c r="D139" s="57" t="inlineStr">
        <is>
          <t>E027</t>
        </is>
      </c>
      <c r="E139" s="57">
        <f>IFERROR(INDEX(Entreprises!$B$2:$B$3000,MATCH(D139,Entreprises!$A$2:$A$3000,0)),"")</f>
        <v/>
      </c>
      <c r="F139" s="57" t="inlineStr">
        <is>
          <t>C045</t>
        </is>
      </c>
      <c r="G139" s="57">
        <f>IFERROR(INDEX(Contacts!$E$2:$E$3000,MATCH(F139,Contacts!$A$2:$A$3000,0)),"")</f>
        <v/>
      </c>
      <c r="H139" s="57" t="inlineStr">
        <is>
          <t>U007</t>
        </is>
      </c>
      <c r="I139" s="57">
        <f>IFERROR(INDEX(Commerciaux!$D$2:$D$3000,MATCH(H139,Commerciaux!$A$2:$A$3000,0)),"")</f>
        <v/>
      </c>
      <c r="J139" s="57" t="inlineStr">
        <is>
          <t>Point d'avancement projet</t>
        </is>
      </c>
      <c r="K139" s="40" t="inlineStr">
        <is>
          <t>Échange téléphonique avec Alexandre Colin sur le calendrier concernant les coffrets de fêtes 2027. Décision interne attendue dans les prochaines semaines.</t>
        </is>
      </c>
      <c r="L139" s="57" t="inlineStr">
        <is>
          <t>Positif</t>
        </is>
      </c>
      <c r="M139" s="57" t="n"/>
      <c r="N139" s="57" t="inlineStr">
        <is>
          <t>Envoyer le devis</t>
        </is>
      </c>
      <c r="O139" s="58" t="n">
        <v>46150</v>
      </c>
      <c r="P139" s="60" t="n">
        <v>30</v>
      </c>
      <c r="Q139" s="57" t="n"/>
    </row>
    <row r="140" ht="23.85" customHeight="1" s="34">
      <c r="A140" s="57" t="inlineStr">
        <is>
          <t>A0139</t>
        </is>
      </c>
      <c r="B140" s="58" t="n">
        <v>46146</v>
      </c>
      <c r="C140" s="57" t="inlineStr">
        <is>
          <t>E-mail</t>
        </is>
      </c>
      <c r="D140" s="57" t="inlineStr">
        <is>
          <t>E007</t>
        </is>
      </c>
      <c r="E140" s="57">
        <f>IFERROR(INDEX(Entreprises!$B$2:$B$3000,MATCH(D140,Entreprises!$A$2:$A$3000,0)),"")</f>
        <v/>
      </c>
      <c r="F140" s="57" t="inlineStr">
        <is>
          <t>C011</t>
        </is>
      </c>
      <c r="G140" s="57">
        <f>IFERROR(INDEX(Contacts!$E$2:$E$3000,MATCH(F140,Contacts!$A$2:$A$3000,0)),"")</f>
        <v/>
      </c>
      <c r="H140" s="57" t="inlineStr">
        <is>
          <t>U002</t>
        </is>
      </c>
      <c r="I140" s="57">
        <f>IFERROR(INDEX(Commerciaux!$D$2:$D$3000,MATCH(H140,Commerciaux!$A$2:$A$3000,0)),"")</f>
        <v/>
      </c>
      <c r="J140" s="57" t="inlineStr">
        <is>
          <t>Demande de devis</t>
        </is>
      </c>
      <c r="K140" s="40" t="inlineStr">
        <is>
          <t>François Girard demande un devis complémentaire pour une série courte d'étiquettes adhésives haute définition.</t>
        </is>
      </c>
      <c r="L140" s="57" t="inlineStr">
        <is>
          <t>Neutre</t>
        </is>
      </c>
      <c r="M140" s="57" t="n"/>
      <c r="N140" s="57" t="n"/>
      <c r="O140" s="58" t="n"/>
      <c r="P140" s="60" t="n"/>
      <c r="Q140" s="57" t="n"/>
    </row>
    <row r="141" ht="23.85" customHeight="1" s="34">
      <c r="A141" s="57" t="inlineStr">
        <is>
          <t>A0140</t>
        </is>
      </c>
      <c r="B141" s="58" t="n">
        <v>46146</v>
      </c>
      <c r="C141" s="57" t="inlineStr">
        <is>
          <t>Appel</t>
        </is>
      </c>
      <c r="D141" s="57" t="inlineStr">
        <is>
          <t>E011</t>
        </is>
      </c>
      <c r="E141" s="57">
        <f>IFERROR(INDEX(Entreprises!$B$2:$B$3000,MATCH(D141,Entreprises!$A$2:$A$3000,0)),"")</f>
        <v/>
      </c>
      <c r="F141" s="57" t="inlineStr">
        <is>
          <t>C018</t>
        </is>
      </c>
      <c r="G141" s="57">
        <f>IFERROR(INDEX(Contacts!$E$2:$E$3000,MATCH(F141,Contacts!$A$2:$A$3000,0)),"")</f>
        <v/>
      </c>
      <c r="H141" s="57" t="inlineStr">
        <is>
          <t>U003</t>
        </is>
      </c>
      <c r="I141" s="57">
        <f>IFERROR(INDEX(Commerciaux!$D$2:$D$3000,MATCH(H141,Commerciaux!$A$2:$A$3000,0)),"")</f>
        <v/>
      </c>
      <c r="J141" s="57" t="inlineStr">
        <is>
          <t>Relance proposition</t>
        </is>
      </c>
      <c r="K141" s="40" t="inlineStr">
        <is>
          <t>Appel de relance sur la dernière proposition. Julie Schmitt demande quelques jours pour consolider les retours internes.</t>
        </is>
      </c>
      <c r="L141" s="57" t="inlineStr">
        <is>
          <t>Neutre</t>
        </is>
      </c>
      <c r="M141" s="57" t="n"/>
      <c r="N141" s="57" t="inlineStr">
        <is>
          <t>Relancer pour obtenir un retour</t>
        </is>
      </c>
      <c r="O141" s="58" t="n">
        <v>46160</v>
      </c>
      <c r="P141" s="60" t="n">
        <v>5</v>
      </c>
      <c r="Q141" s="57" t="n"/>
    </row>
    <row r="142" ht="15" customHeight="1" s="34">
      <c r="A142" s="57" t="inlineStr">
        <is>
          <t>A0141</t>
        </is>
      </c>
      <c r="B142" s="58" t="n">
        <v>46150</v>
      </c>
      <c r="C142" s="57" t="inlineStr">
        <is>
          <t>Note</t>
        </is>
      </c>
      <c r="D142" s="57" t="inlineStr">
        <is>
          <t>E002</t>
        </is>
      </c>
      <c r="E142" s="57">
        <f>IFERROR(INDEX(Entreprises!$B$2:$B$3000,MATCH(D142,Entreprises!$A$2:$A$3000,0)),"")</f>
        <v/>
      </c>
      <c r="F142" s="57" t="inlineStr">
        <is>
          <t>C003</t>
        </is>
      </c>
      <c r="G142" s="57">
        <f>IFERROR(INDEX(Contacts!$E$2:$E$3000,MATCH(F142,Contacts!$A$2:$A$3000,0)),"")</f>
        <v/>
      </c>
      <c r="H142" s="57" t="inlineStr">
        <is>
          <t>U002</t>
        </is>
      </c>
      <c r="I142" s="57">
        <f>IFERROR(INDEX(Commerciaux!$D$2:$D$3000,MATCH(H142,Commerciaux!$A$2:$A$3000,0)),"")</f>
        <v/>
      </c>
      <c r="J142" s="57" t="inlineStr">
        <is>
          <t>Information organisation</t>
        </is>
      </c>
      <c r="K142" s="40" t="inlineStr">
        <is>
          <t>Note interne : Aurélie Vasseur a mentionné une réorganisation du service achats ; à surveiller.</t>
        </is>
      </c>
      <c r="L142" s="57" t="inlineStr">
        <is>
          <t>Neutre</t>
        </is>
      </c>
      <c r="M142" s="57" t="n"/>
      <c r="N142" s="57" t="n"/>
      <c r="O142" s="58" t="n"/>
      <c r="P142" s="60" t="n"/>
      <c r="Q142" s="57" t="n"/>
    </row>
    <row r="143" ht="23.85" customHeight="1" s="34">
      <c r="A143" s="57" t="inlineStr">
        <is>
          <t>A0142</t>
        </is>
      </c>
      <c r="B143" s="58" t="n">
        <v>46150</v>
      </c>
      <c r="C143" s="57" t="inlineStr">
        <is>
          <t>E-mail</t>
        </is>
      </c>
      <c r="D143" s="57" t="inlineStr">
        <is>
          <t>E007</t>
        </is>
      </c>
      <c r="E143" s="57">
        <f>IFERROR(INDEX(Entreprises!$B$2:$B$3000,MATCH(D143,Entreprises!$A$2:$A$3000,0)),"")</f>
        <v/>
      </c>
      <c r="F143" s="57" t="inlineStr">
        <is>
          <t>C011</t>
        </is>
      </c>
      <c r="G143" s="57">
        <f>IFERROR(INDEX(Contacts!$E$2:$E$3000,MATCH(F143,Contacts!$A$2:$A$3000,0)),"")</f>
        <v/>
      </c>
      <c r="H143" s="57" t="inlineStr">
        <is>
          <t>U002</t>
        </is>
      </c>
      <c r="I143" s="57">
        <f>IFERROR(INDEX(Commerciaux!$D$2:$D$3000,MATCH(H143,Commerciaux!$A$2:$A$3000,0)),"")</f>
        <v/>
      </c>
      <c r="J143" s="57" t="inlineStr">
        <is>
          <t>Envoi de fiche technique</t>
        </is>
      </c>
      <c r="K143" s="40" t="inlineStr">
        <is>
          <t>Envoi à François Girard de la fiche technique et des certificats des étiquettes adhésives haute définition.</t>
        </is>
      </c>
      <c r="L143" s="57" t="inlineStr">
        <is>
          <t>Neutre</t>
        </is>
      </c>
      <c r="M143" s="57" t="n"/>
      <c r="N143" s="57" t="n"/>
      <c r="O143" s="58" t="n"/>
      <c r="P143" s="60" t="n"/>
      <c r="Q143" s="57" t="n"/>
    </row>
    <row r="144" ht="15" customHeight="1" s="34">
      <c r="A144" s="57" t="inlineStr">
        <is>
          <t>A0143</t>
        </is>
      </c>
      <c r="B144" s="58" t="n">
        <v>46153</v>
      </c>
      <c r="C144" s="57" t="inlineStr">
        <is>
          <t>Note</t>
        </is>
      </c>
      <c r="D144" s="57" t="inlineStr">
        <is>
          <t>E001</t>
        </is>
      </c>
      <c r="E144" s="57">
        <f>IFERROR(INDEX(Entreprises!$B$2:$B$3000,MATCH(D144,Entreprises!$A$2:$A$3000,0)),"")</f>
        <v/>
      </c>
      <c r="F144" s="57" t="inlineStr">
        <is>
          <t>C001</t>
        </is>
      </c>
      <c r="G144" s="57">
        <f>IFERROR(INDEX(Contacts!$E$2:$E$3000,MATCH(F144,Contacts!$A$2:$A$3000,0)),"")</f>
        <v/>
      </c>
      <c r="H144" s="57" t="inlineStr">
        <is>
          <t>U002</t>
        </is>
      </c>
      <c r="I144" s="57">
        <f>IFERROR(INDEX(Commerciaux!$D$2:$D$3000,MATCH(H144,Commerciaux!$A$2:$A$3000,0)),"")</f>
        <v/>
      </c>
      <c r="J144" s="57" t="inlineStr">
        <is>
          <t>Information organisation</t>
        </is>
      </c>
      <c r="K144" s="40" t="inlineStr">
        <is>
          <t>Note interne : Nathalie Dubreuil a mentionné une réorganisation du service achats ; à surveiller.</t>
        </is>
      </c>
      <c r="L144" s="57" t="inlineStr">
        <is>
          <t>Neutre</t>
        </is>
      </c>
      <c r="M144" s="57" t="n"/>
      <c r="N144" s="57" t="n"/>
      <c r="O144" s="58" t="n"/>
      <c r="P144" s="60" t="n"/>
      <c r="Q144" s="57" t="n"/>
    </row>
    <row r="145" ht="35.05" customHeight="1" s="34">
      <c r="A145" s="57" t="inlineStr">
        <is>
          <t>A0144</t>
        </is>
      </c>
      <c r="B145" s="58" t="n">
        <v>46160</v>
      </c>
      <c r="C145" s="57" t="inlineStr">
        <is>
          <t>Visite terrain</t>
        </is>
      </c>
      <c r="D145" s="57" t="inlineStr">
        <is>
          <t>E002</t>
        </is>
      </c>
      <c r="E145" s="57">
        <f>IFERROR(INDEX(Entreprises!$B$2:$B$3000,MATCH(D145,Entreprises!$A$2:$A$3000,0)),"")</f>
        <v/>
      </c>
      <c r="F145" s="57" t="inlineStr">
        <is>
          <t>C003</t>
        </is>
      </c>
      <c r="G145" s="57">
        <f>IFERROR(INDEX(Contacts!$E$2:$E$3000,MATCH(F145,Contacts!$A$2:$A$3000,0)),"")</f>
        <v/>
      </c>
      <c r="H145" s="57" t="inlineStr">
        <is>
          <t>U002</t>
        </is>
      </c>
      <c r="I145" s="57">
        <f>IFERROR(INDEX(Commerciaux!$D$2:$D$3000,MATCH(H145,Commerciaux!$A$2:$A$3000,0)),"")</f>
        <v/>
      </c>
      <c r="J145" s="57" t="inlineStr">
        <is>
          <t>Revue d'activité semestrielle</t>
        </is>
      </c>
      <c r="K145" s="40" t="inlineStr">
        <is>
          <t>Revue d'activité semestrielle avec Aurélie Vasseur. Satisfaction globale sur la qualité ; demande de visibilité sur l'évolution des prix des matières. Échange sur l'automatisation de la mise en carton de la ligne levure sèche.</t>
        </is>
      </c>
      <c r="L145" s="57" t="inlineStr">
        <is>
          <t>Positif</t>
        </is>
      </c>
      <c r="M145" s="57" t="n"/>
      <c r="N145" s="57" t="n"/>
      <c r="O145" s="58" t="n"/>
      <c r="P145" s="60" t="n">
        <v>75</v>
      </c>
      <c r="Q145" s="57" t="n"/>
    </row>
    <row r="146" ht="23.85" customHeight="1" s="34">
      <c r="A146" s="57" t="inlineStr">
        <is>
          <t>A0145</t>
        </is>
      </c>
      <c r="B146" s="58" t="n">
        <v>46161</v>
      </c>
      <c r="C146" s="57" t="inlineStr">
        <is>
          <t>Visite terrain</t>
        </is>
      </c>
      <c r="D146" s="57" t="inlineStr">
        <is>
          <t>E007</t>
        </is>
      </c>
      <c r="E146" s="57">
        <f>IFERROR(INDEX(Entreprises!$B$2:$B$3000,MATCH(D146,Entreprises!$A$2:$A$3000,0)),"")</f>
        <v/>
      </c>
      <c r="F146" s="57" t="inlineStr">
        <is>
          <t>C011</t>
        </is>
      </c>
      <c r="G146" s="57">
        <f>IFERROR(INDEX(Contacts!$E$2:$E$3000,MATCH(F146,Contacts!$A$2:$A$3000,0)),"")</f>
        <v/>
      </c>
      <c r="H146" s="57" t="inlineStr">
        <is>
          <t>U002</t>
        </is>
      </c>
      <c r="I146" s="57">
        <f>IFERROR(INDEX(Commerciaux!$D$2:$D$3000,MATCH(H146,Commerciaux!$A$2:$A$3000,0)),"")</f>
        <v/>
      </c>
      <c r="J146" s="57" t="inlineStr">
        <is>
          <t>Compte rendu de visite</t>
        </is>
      </c>
      <c r="K146" s="40" t="inlineStr">
        <is>
          <t>Visite avec François Girard. Volumes stables sur les caisses. Nexans veut harmoniser les étiquettes logistiques de trois sites français d'ici 2027 et demande une étude de faisabilité.</t>
        </is>
      </c>
      <c r="L146" s="57" t="inlineStr">
        <is>
          <t>Positif</t>
        </is>
      </c>
      <c r="M146" s="57" t="inlineStr">
        <is>
          <t>T012</t>
        </is>
      </c>
      <c r="N146" s="57" t="inlineStr">
        <is>
          <t>Proposer un audit des lignes d'étiquetage</t>
        </is>
      </c>
      <c r="O146" s="58" t="n">
        <v>46178</v>
      </c>
      <c r="P146" s="60" t="n">
        <v>90</v>
      </c>
      <c r="Q146" s="57" t="n"/>
    </row>
    <row r="147" ht="23.85" customHeight="1" s="34">
      <c r="A147" s="57" t="inlineStr">
        <is>
          <t>A0146</t>
        </is>
      </c>
      <c r="B147" s="58" t="n">
        <v>46163</v>
      </c>
      <c r="C147" s="57" t="inlineStr">
        <is>
          <t>E-mail</t>
        </is>
      </c>
      <c r="D147" s="57" t="inlineStr">
        <is>
          <t>E007</t>
        </is>
      </c>
      <c r="E147" s="57">
        <f>IFERROR(INDEX(Entreprises!$B$2:$B$3000,MATCH(D147,Entreprises!$A$2:$A$3000,0)),"")</f>
        <v/>
      </c>
      <c r="F147" s="57" t="inlineStr">
        <is>
          <t>C011</t>
        </is>
      </c>
      <c r="G147" s="57">
        <f>IFERROR(INDEX(Contacts!$E$2:$E$3000,MATCH(F147,Contacts!$A$2:$A$3000,0)),"")</f>
        <v/>
      </c>
      <c r="H147" s="57" t="inlineStr">
        <is>
          <t>U002</t>
        </is>
      </c>
      <c r="I147" s="57">
        <f>IFERROR(INDEX(Commerciaux!$D$2:$D$3000,MATCH(H147,Commerciaux!$A$2:$A$3000,0)),"")</f>
        <v/>
      </c>
      <c r="J147" s="57" t="inlineStr">
        <is>
          <t>Envoi du compte rendu de visite</t>
        </is>
      </c>
      <c r="K147" s="40" t="inlineStr">
        <is>
          <t>Envoi à François Girard du compte rendu de la visite du 19/05/2026 et des prochaines étapes convenues.</t>
        </is>
      </c>
      <c r="L147" s="57" t="inlineStr">
        <is>
          <t>Neutre</t>
        </is>
      </c>
      <c r="M147" s="57" t="inlineStr">
        <is>
          <t>T012</t>
        </is>
      </c>
      <c r="N147" s="57" t="n"/>
      <c r="O147" s="58" t="n"/>
      <c r="P147" s="60" t="n"/>
      <c r="Q147" s="57" t="n"/>
    </row>
    <row r="148" ht="23.85" customHeight="1" s="34">
      <c r="A148" s="57" t="inlineStr">
        <is>
          <t>A0147</t>
        </is>
      </c>
      <c r="B148" s="58" t="n">
        <v>46164</v>
      </c>
      <c r="C148" s="57" t="inlineStr">
        <is>
          <t>E-mail</t>
        </is>
      </c>
      <c r="D148" s="57" t="inlineStr">
        <is>
          <t>E016</t>
        </is>
      </c>
      <c r="E148" s="57">
        <f>IFERROR(INDEX(Entreprises!$B$2:$B$3000,MATCH(D148,Entreprises!$A$2:$A$3000,0)),"")</f>
        <v/>
      </c>
      <c r="F148" s="57" t="inlineStr">
        <is>
          <t>C026</t>
        </is>
      </c>
      <c r="G148" s="57">
        <f>IFERROR(INDEX(Contacts!$E$2:$E$3000,MATCH(F148,Contacts!$A$2:$A$3000,0)),"")</f>
        <v/>
      </c>
      <c r="H148" s="57" t="inlineStr">
        <is>
          <t>U004</t>
        </is>
      </c>
      <c r="I148" s="57">
        <f>IFERROR(INDEX(Commerciaux!$D$2:$D$3000,MATCH(H148,Commerciaux!$A$2:$A$3000,0)),"")</f>
        <v/>
      </c>
      <c r="J148" s="57" t="inlineStr">
        <is>
          <t>Envoi du planning</t>
        </is>
      </c>
      <c r="K148" s="40" t="inlineStr">
        <is>
          <t>Envoi à Anaïs Lopez du planning prévisionnel et des points ouverts concernant la sérialisation de la nouvelle ligne de conditionnement.</t>
        </is>
      </c>
      <c r="L148" s="57" t="inlineStr">
        <is>
          <t>Neutre</t>
        </is>
      </c>
      <c r="M148" s="57" t="n"/>
      <c r="N148" s="57" t="n"/>
      <c r="O148" s="58" t="n"/>
      <c r="P148" s="60" t="n"/>
      <c r="Q148" s="57" t="n"/>
    </row>
    <row r="149" ht="23.85" customHeight="1" s="34">
      <c r="A149" s="57" t="inlineStr">
        <is>
          <t>A0148</t>
        </is>
      </c>
      <c r="B149" s="58" t="n">
        <v>46167</v>
      </c>
      <c r="C149" s="57" t="inlineStr">
        <is>
          <t>Visite terrain</t>
        </is>
      </c>
      <c r="D149" s="57" t="inlineStr">
        <is>
          <t>E009</t>
        </is>
      </c>
      <c r="E149" s="57">
        <f>IFERROR(INDEX(Entreprises!$B$2:$B$3000,MATCH(D149,Entreprises!$A$2:$A$3000,0)),"")</f>
        <v/>
      </c>
      <c r="F149" s="57" t="inlineStr">
        <is>
          <t>C015</t>
        </is>
      </c>
      <c r="G149" s="57">
        <f>IFERROR(INDEX(Contacts!$E$2:$E$3000,MATCH(F149,Contacts!$A$2:$A$3000,0)),"")</f>
        <v/>
      </c>
      <c r="H149" s="57" t="inlineStr">
        <is>
          <t>U003</t>
        </is>
      </c>
      <c r="I149" s="57">
        <f>IFERROR(INDEX(Commerciaux!$D$2:$D$3000,MATCH(H149,Commerciaux!$A$2:$A$3000,0)),"")</f>
        <v/>
      </c>
      <c r="J149" s="57" t="inlineStr">
        <is>
          <t>Présentation des nouveautés 2026</t>
        </is>
      </c>
      <c r="K149" s="40" t="inlineStr">
        <is>
          <t>Présentation des nouveautés 2026 à Pauline Henry, notamment les étuis spiritueux luxe. Accueil favorable et demande d'échantillons.</t>
        </is>
      </c>
      <c r="L149" s="57" t="inlineStr">
        <is>
          <t>Positif</t>
        </is>
      </c>
      <c r="M149" s="57" t="n"/>
      <c r="N149" s="57" t="inlineStr">
        <is>
          <t>Transmettre des échantillons</t>
        </is>
      </c>
      <c r="O149" s="58" t="n">
        <v>46176</v>
      </c>
      <c r="P149" s="60" t="n">
        <v>60</v>
      </c>
      <c r="Q149" s="57" t="n"/>
    </row>
    <row r="150" ht="23.85" customHeight="1" s="34">
      <c r="A150" s="57" t="inlineStr">
        <is>
          <t>A0149</t>
        </is>
      </c>
      <c r="B150" s="58" t="n">
        <v>46178</v>
      </c>
      <c r="C150" s="57" t="inlineStr">
        <is>
          <t>Appel</t>
        </is>
      </c>
      <c r="D150" s="57" t="inlineStr">
        <is>
          <t>E030</t>
        </is>
      </c>
      <c r="E150" s="57">
        <f>IFERROR(INDEX(Entreprises!$B$2:$B$3000,MATCH(D150,Entreprises!$A$2:$A$3000,0)),"")</f>
        <v/>
      </c>
      <c r="F150" s="57" t="inlineStr">
        <is>
          <t>C050</t>
        </is>
      </c>
      <c r="G150" s="57">
        <f>IFERROR(INDEX(Contacts!$E$2:$E$3000,MATCH(F150,Contacts!$A$2:$A$3000,0)),"")</f>
        <v/>
      </c>
      <c r="H150" s="57" t="inlineStr">
        <is>
          <t>U007</t>
        </is>
      </c>
      <c r="I150" s="57">
        <f>IFERROR(INDEX(Commerciaux!$D$2:$D$3000,MATCH(H150,Commerciaux!$A$2:$A$3000,0)),"")</f>
        <v/>
      </c>
      <c r="J150" s="57" t="inlineStr">
        <is>
          <t>Relance proposition</t>
        </is>
      </c>
      <c r="K150" s="40" t="inlineStr">
        <is>
          <t>Appel de relance sur la dernière proposition. Pierre-Yves Guérin demande quelques jours pour consolider les retours internes.</t>
        </is>
      </c>
      <c r="L150" s="57" t="inlineStr">
        <is>
          <t>Positif</t>
        </is>
      </c>
      <c r="M150" s="57" t="n"/>
      <c r="N150" s="57" t="n"/>
      <c r="O150" s="58" t="n"/>
      <c r="P150" s="60" t="n">
        <v>10</v>
      </c>
      <c r="Q150" s="57" t="n"/>
    </row>
    <row r="151" ht="23.85" customHeight="1" s="34">
      <c r="A151" s="57" t="inlineStr">
        <is>
          <t>A0150</t>
        </is>
      </c>
      <c r="B151" s="58" t="n">
        <v>46182</v>
      </c>
      <c r="C151" s="57" t="inlineStr">
        <is>
          <t>Appel</t>
        </is>
      </c>
      <c r="D151" s="57" t="inlineStr">
        <is>
          <t>E020</t>
        </is>
      </c>
      <c r="E151" s="57">
        <f>IFERROR(INDEX(Entreprises!$B$2:$B$3000,MATCH(D151,Entreprises!$A$2:$A$3000,0)),"")</f>
        <v/>
      </c>
      <c r="F151" s="57" t="inlineStr">
        <is>
          <t>C032</t>
        </is>
      </c>
      <c r="G151" s="57">
        <f>IFERROR(INDEX(Contacts!$E$2:$E$3000,MATCH(F151,Contacts!$A$2:$A$3000,0)),"")</f>
        <v/>
      </c>
      <c r="H151" s="57" t="inlineStr">
        <is>
          <t>U005</t>
        </is>
      </c>
      <c r="I151" s="57">
        <f>IFERROR(INDEX(Commerciaux!$D$2:$D$3000,MATCH(H151,Commerciaux!$A$2:$A$3000,0)),"")</f>
        <v/>
      </c>
      <c r="J151" s="57" t="inlineStr">
        <is>
          <t>Point d'avancement projet</t>
        </is>
      </c>
      <c r="K151" s="40" t="inlineStr">
        <is>
          <t>Échange téléphonique avec Cédric Vidal sur le calendrier concernant les emballages de la nouvelle gamme 2027. Décision interne attendue dans les prochaines semaines.</t>
        </is>
      </c>
      <c r="L151" s="57" t="inlineStr">
        <is>
          <t>À relancer</t>
        </is>
      </c>
      <c r="M151" s="57" t="inlineStr">
        <is>
          <t>T031</t>
        </is>
      </c>
      <c r="N151" s="57" t="n"/>
      <c r="O151" s="58" t="n"/>
      <c r="P151" s="60" t="n">
        <v>15</v>
      </c>
      <c r="Q151" s="57" t="n"/>
    </row>
    <row r="152" ht="23.85" customHeight="1" s="34">
      <c r="A152" s="57" t="inlineStr">
        <is>
          <t>A0151</t>
        </is>
      </c>
      <c r="B152" s="58" t="n">
        <v>46182</v>
      </c>
      <c r="C152" s="57" t="inlineStr">
        <is>
          <t>Appel</t>
        </is>
      </c>
      <c r="D152" s="57" t="inlineStr">
        <is>
          <t>E022</t>
        </is>
      </c>
      <c r="E152" s="57">
        <f>IFERROR(INDEX(Entreprises!$B$2:$B$3000,MATCH(D152,Entreprises!$A$2:$A$3000,0)),"")</f>
        <v/>
      </c>
      <c r="F152" s="57" t="inlineStr">
        <is>
          <t>C036</t>
        </is>
      </c>
      <c r="G152" s="57">
        <f>IFERROR(INDEX(Contacts!$E$2:$E$3000,MATCH(F152,Contacts!$A$2:$A$3000,0)),"")</f>
        <v/>
      </c>
      <c r="H152" s="57" t="inlineStr">
        <is>
          <t>U006</t>
        </is>
      </c>
      <c r="I152" s="57">
        <f>IFERROR(INDEX(Commerciaux!$D$2:$D$3000,MATCH(H152,Commerciaux!$A$2:$A$3000,0)),"")</f>
        <v/>
      </c>
      <c r="J152" s="57" t="inlineStr">
        <is>
          <t>Relance proposition</t>
        </is>
      </c>
      <c r="K152" s="40" t="inlineStr">
        <is>
          <t>Appel de relance sur la dernière proposition. Patrick Renaud demande quelques jours pour consolider les retours internes.</t>
        </is>
      </c>
      <c r="L152" s="57" t="inlineStr">
        <is>
          <t>À relancer</t>
        </is>
      </c>
      <c r="M152" s="57" t="inlineStr">
        <is>
          <t>T034</t>
        </is>
      </c>
      <c r="N152" s="57" t="inlineStr">
        <is>
          <t>Planifier une visite de site</t>
        </is>
      </c>
      <c r="O152" s="58" t="n">
        <v>46202</v>
      </c>
      <c r="P152" s="60" t="n">
        <v>30</v>
      </c>
      <c r="Q152" s="57" t="n"/>
    </row>
    <row r="153" ht="23.85" customHeight="1" s="34">
      <c r="A153" s="57" t="inlineStr">
        <is>
          <t>A0152</t>
        </is>
      </c>
      <c r="B153" s="58" t="n">
        <v>46183</v>
      </c>
      <c r="C153" s="57" t="inlineStr">
        <is>
          <t>Note</t>
        </is>
      </c>
      <c r="D153" s="57" t="inlineStr">
        <is>
          <t>E007</t>
        </is>
      </c>
      <c r="E153" s="57">
        <f>IFERROR(INDEX(Entreprises!$B$2:$B$3000,MATCH(D153,Entreprises!$A$2:$A$3000,0)),"")</f>
        <v/>
      </c>
      <c r="F153" s="57" t="inlineStr">
        <is>
          <t>C011</t>
        </is>
      </c>
      <c r="G153" s="57">
        <f>IFERROR(INDEX(Contacts!$E$2:$E$3000,MATCH(F153,Contacts!$A$2:$A$3000,0)),"")</f>
        <v/>
      </c>
      <c r="H153" s="57" t="inlineStr">
        <is>
          <t>U002</t>
        </is>
      </c>
      <c r="I153" s="57">
        <f>IFERROR(INDEX(Commerciaux!$D$2:$D$3000,MATCH(H153,Commerciaux!$A$2:$A$3000,0)),"")</f>
        <v/>
      </c>
      <c r="J153" s="57" t="inlineStr">
        <is>
          <t>Préparation négociation</t>
        </is>
      </c>
      <c r="K153" s="40" t="inlineStr">
        <is>
          <t>Note interne : préparer un comparatif de prix face à Emballor Industries avant la prochaine négociation.</t>
        </is>
      </c>
      <c r="L153" s="57" t="inlineStr">
        <is>
          <t>Neutre</t>
        </is>
      </c>
      <c r="M153" s="57" t="n"/>
      <c r="N153" s="57" t="n"/>
      <c r="O153" s="58" t="n"/>
      <c r="P153" s="60" t="n"/>
      <c r="Q153" s="57" t="n"/>
    </row>
    <row r="154" ht="35.05" customHeight="1" s="34">
      <c r="A154" s="57" t="inlineStr">
        <is>
          <t>A0153</t>
        </is>
      </c>
      <c r="B154" s="58" t="n">
        <v>46184</v>
      </c>
      <c r="C154" s="57" t="inlineStr">
        <is>
          <t>Visite terrain</t>
        </is>
      </c>
      <c r="D154" s="57" t="inlineStr">
        <is>
          <t>E009</t>
        </is>
      </c>
      <c r="E154" s="57">
        <f>IFERROR(INDEX(Entreprises!$B$2:$B$3000,MATCH(D154,Entreprises!$A$2:$A$3000,0)),"")</f>
        <v/>
      </c>
      <c r="F154" s="57" t="inlineStr">
        <is>
          <t>C014</t>
        </is>
      </c>
      <c r="G154" s="57">
        <f>IFERROR(INDEX(Contacts!$E$2:$E$3000,MATCH(F154,Contacts!$A$2:$A$3000,0)),"")</f>
        <v/>
      </c>
      <c r="H154" s="57" t="inlineStr">
        <is>
          <t>U003</t>
        </is>
      </c>
      <c r="I154" s="57">
        <f>IFERROR(INDEX(Commerciaux!$D$2:$D$3000,MATCH(H154,Commerciaux!$A$2:$A$3000,0)),"")</f>
        <v/>
      </c>
      <c r="J154" s="57" t="inlineStr">
        <is>
          <t>Compte rendu de visite</t>
        </is>
      </c>
      <c r="K154" s="40" t="inlineStr">
        <is>
          <t>Point avec Jean-Marc Lambert et Pauline Henry sur le renouvellement des étuis de la gamme rosé : brief créatif attendu en septembre. Satisfaction sur les caisses export livrées en début d'année.</t>
        </is>
      </c>
      <c r="L154" s="57" t="inlineStr">
        <is>
          <t>Positif</t>
        </is>
      </c>
      <c r="M154" s="57" t="inlineStr">
        <is>
          <t>T015</t>
        </is>
      </c>
      <c r="N154" s="57" t="inlineStr">
        <is>
          <t>Relancer pour obtenir le brief créatif</t>
        </is>
      </c>
      <c r="O154" s="58" t="n">
        <v>46280</v>
      </c>
      <c r="P154" s="60" t="n">
        <v>105</v>
      </c>
      <c r="Q154" s="57" t="inlineStr">
        <is>
          <t>Pauline Henry</t>
        </is>
      </c>
    </row>
    <row r="155" ht="23.85" customHeight="1" s="34">
      <c r="A155" s="57" t="inlineStr">
        <is>
          <t>A0154</t>
        </is>
      </c>
      <c r="B155" s="58" t="n">
        <v>46185</v>
      </c>
      <c r="C155" s="57" t="inlineStr">
        <is>
          <t>Réunion visio</t>
        </is>
      </c>
      <c r="D155" s="57" t="inlineStr">
        <is>
          <t>E007</t>
        </is>
      </c>
      <c r="E155" s="57">
        <f>IFERROR(INDEX(Entreprises!$B$2:$B$3000,MATCH(D155,Entreprises!$A$2:$A$3000,0)),"")</f>
        <v/>
      </c>
      <c r="F155" s="57" t="inlineStr">
        <is>
          <t>C011</t>
        </is>
      </c>
      <c r="G155" s="57">
        <f>IFERROR(INDEX(Contacts!$E$2:$E$3000,MATCH(F155,Contacts!$A$2:$A$3000,0)),"")</f>
        <v/>
      </c>
      <c r="H155" s="57" t="inlineStr">
        <is>
          <t>U002</t>
        </is>
      </c>
      <c r="I155" s="57">
        <f>IFERROR(INDEX(Commerciaux!$D$2:$D$3000,MATCH(H155,Commerciaux!$A$2:$A$3000,0)),"")</f>
        <v/>
      </c>
      <c r="J155" s="57" t="inlineStr">
        <is>
          <t>Cadrage du besoin</t>
        </is>
      </c>
      <c r="K155" s="40" t="inlineStr">
        <is>
          <t>Réunion Teams avec François Girard pour cadrer le besoin concernant l'harmonisation des étiquettes logistiques entre sites. Liste des prérequis techniques partagée.</t>
        </is>
      </c>
      <c r="L155" s="57" t="inlineStr">
        <is>
          <t>Positif</t>
        </is>
      </c>
      <c r="M155" s="57" t="n"/>
      <c r="N155" s="57" t="n"/>
      <c r="O155" s="58" t="n"/>
      <c r="P155" s="60" t="n">
        <v>60</v>
      </c>
      <c r="Q155" s="57" t="n"/>
    </row>
    <row r="156" ht="23.85" customHeight="1" s="34">
      <c r="A156" s="57" t="inlineStr">
        <is>
          <t>A0155</t>
        </is>
      </c>
      <c r="B156" s="58" t="n">
        <v>46188</v>
      </c>
      <c r="C156" s="57" t="inlineStr">
        <is>
          <t>E-mail</t>
        </is>
      </c>
      <c r="D156" s="57" t="inlineStr">
        <is>
          <t>E009</t>
        </is>
      </c>
      <c r="E156" s="57">
        <f>IFERROR(INDEX(Entreprises!$B$2:$B$3000,MATCH(D156,Entreprises!$A$2:$A$3000,0)),"")</f>
        <v/>
      </c>
      <c r="F156" s="57" t="inlineStr">
        <is>
          <t>C014</t>
        </is>
      </c>
      <c r="G156" s="57">
        <f>IFERROR(INDEX(Contacts!$E$2:$E$3000,MATCH(F156,Contacts!$A$2:$A$3000,0)),"")</f>
        <v/>
      </c>
      <c r="H156" s="57" t="inlineStr">
        <is>
          <t>U003</t>
        </is>
      </c>
      <c r="I156" s="57">
        <f>IFERROR(INDEX(Commerciaux!$D$2:$D$3000,MATCH(H156,Commerciaux!$A$2:$A$3000,0)),"")</f>
        <v/>
      </c>
      <c r="J156" s="57" t="inlineStr">
        <is>
          <t>Envoi du compte rendu de visite</t>
        </is>
      </c>
      <c r="K156" s="40" t="inlineStr">
        <is>
          <t>Envoi à Jean-Marc Lambert du compte rendu de la visite du 11/06/2026 et des prochaines étapes convenues.</t>
        </is>
      </c>
      <c r="L156" s="57" t="inlineStr">
        <is>
          <t>Neutre</t>
        </is>
      </c>
      <c r="M156" s="57" t="inlineStr">
        <is>
          <t>T015</t>
        </is>
      </c>
      <c r="N156" s="57" t="n"/>
      <c r="O156" s="58" t="n"/>
      <c r="P156" s="60" t="n"/>
      <c r="Q156" s="57" t="n"/>
    </row>
    <row r="157" ht="15" customHeight="1" s="34">
      <c r="A157" s="57" t="inlineStr">
        <is>
          <t>A0156</t>
        </is>
      </c>
      <c r="B157" s="58" t="n">
        <v>46188</v>
      </c>
      <c r="C157" s="57" t="inlineStr">
        <is>
          <t>Note</t>
        </is>
      </c>
      <c r="D157" s="57" t="inlineStr">
        <is>
          <t>E027</t>
        </is>
      </c>
      <c r="E157" s="57">
        <f>IFERROR(INDEX(Entreprises!$B$2:$B$3000,MATCH(D157,Entreprises!$A$2:$A$3000,0)),"")</f>
        <v/>
      </c>
      <c r="F157" s="57" t="inlineStr">
        <is>
          <t>C044</t>
        </is>
      </c>
      <c r="G157" s="57">
        <f>IFERROR(INDEX(Contacts!$E$2:$E$3000,MATCH(F157,Contacts!$A$2:$A$3000,0)),"")</f>
        <v/>
      </c>
      <c r="H157" s="57" t="inlineStr">
        <is>
          <t>U007</t>
        </is>
      </c>
      <c r="I157" s="57">
        <f>IFERROR(INDEX(Commerciaux!$D$2:$D$3000,MATCH(H157,Commerciaux!$A$2:$A$3000,0)),"")</f>
        <v/>
      </c>
      <c r="J157" s="57" t="inlineStr">
        <is>
          <t>Information organisation</t>
        </is>
      </c>
      <c r="K157" s="40" t="inlineStr">
        <is>
          <t>Note interne : Laetitia Fournier a mentionné une réorganisation du service achats ; à surveiller.</t>
        </is>
      </c>
      <c r="L157" s="57" t="inlineStr">
        <is>
          <t>Neutre</t>
        </is>
      </c>
      <c r="M157" s="57" t="n"/>
      <c r="N157" s="57" t="n"/>
      <c r="O157" s="58" t="n"/>
      <c r="P157" s="60" t="n"/>
      <c r="Q157" s="57" t="n"/>
    </row>
    <row r="158" ht="23.85" customHeight="1" s="34">
      <c r="A158" s="57" t="inlineStr">
        <is>
          <t>A0157</t>
        </is>
      </c>
      <c r="B158" s="58" t="n">
        <v>46191</v>
      </c>
      <c r="C158" s="57" t="inlineStr">
        <is>
          <t>Appel</t>
        </is>
      </c>
      <c r="D158" s="57" t="inlineStr">
        <is>
          <t>E003</t>
        </is>
      </c>
      <c r="E158" s="57">
        <f>IFERROR(INDEX(Entreprises!$B$2:$B$3000,MATCH(D158,Entreprises!$A$2:$A$3000,0)),"")</f>
        <v/>
      </c>
      <c r="F158" s="57" t="inlineStr">
        <is>
          <t>C005</t>
        </is>
      </c>
      <c r="G158" s="57">
        <f>IFERROR(INDEX(Contacts!$E$2:$E$3000,MATCH(F158,Contacts!$A$2:$A$3000,0)),"")</f>
        <v/>
      </c>
      <c r="H158" s="57" t="inlineStr">
        <is>
          <t>U002</t>
        </is>
      </c>
      <c r="I158" s="57">
        <f>IFERROR(INDEX(Commerciaux!$D$2:$D$3000,MATCH(H158,Commerciaux!$A$2:$A$3000,0)),"")</f>
        <v/>
      </c>
      <c r="J158" s="57" t="inlineStr">
        <is>
          <t>Signalement non-conformité</t>
        </is>
      </c>
      <c r="K158" s="40" t="inlineStr">
        <is>
          <t>Appel de Sophie Marchand : numéro de lot illisible sur une partie des étuis livrés. Lot bloqué côté client. Ticket qualité ouvert en priorité critique.</t>
        </is>
      </c>
      <c r="L158" s="57" t="inlineStr">
        <is>
          <t>Négatif</t>
        </is>
      </c>
      <c r="M158" s="57" t="n"/>
      <c r="N158" s="57" t="inlineStr">
        <is>
          <t>Remplacer le lot et lancer l'analyse 8D</t>
        </is>
      </c>
      <c r="O158" s="58" t="n">
        <v>46198</v>
      </c>
      <c r="P158" s="60" t="n">
        <v>25</v>
      </c>
      <c r="Q158" s="57" t="n"/>
    </row>
    <row r="159" ht="35.05" customHeight="1" s="34">
      <c r="A159" s="57" t="inlineStr">
        <is>
          <t>A0158</t>
        </is>
      </c>
      <c r="B159" s="58" t="n">
        <v>46195</v>
      </c>
      <c r="C159" s="57" t="inlineStr">
        <is>
          <t>Visite terrain</t>
        </is>
      </c>
      <c r="D159" s="57" t="inlineStr">
        <is>
          <t>E017</t>
        </is>
      </c>
      <c r="E159" s="57">
        <f>IFERROR(INDEX(Entreprises!$B$2:$B$3000,MATCH(D159,Entreprises!$A$2:$A$3000,0)),"")</f>
        <v/>
      </c>
      <c r="F159" s="57" t="inlineStr">
        <is>
          <t>C028</t>
        </is>
      </c>
      <c r="G159" s="57">
        <f>IFERROR(INDEX(Contacts!$E$2:$E$3000,MATCH(F159,Contacts!$A$2:$A$3000,0)),"")</f>
        <v/>
      </c>
      <c r="H159" s="57" t="inlineStr">
        <is>
          <t>U005</t>
        </is>
      </c>
      <c r="I159" s="57">
        <f>IFERROR(INDEX(Commerciaux!$D$2:$D$3000,MATCH(H159,Commerciaux!$A$2:$A$3000,0)),"")</f>
        <v/>
      </c>
      <c r="J159" s="57" t="inlineStr">
        <is>
          <t>Revue d'activité semestrielle</t>
        </is>
      </c>
      <c r="K159" s="40" t="inlineStr">
        <is>
          <t>Revue d'activité semestrielle avec Romain Arnaud. Satisfaction globale sur la qualité ; demande de visibilité sur l'évolution des prix des matières. Échange sur le coffret réutilisable de la gamme premium.</t>
        </is>
      </c>
      <c r="L159" s="57" t="inlineStr">
        <is>
          <t>Positif</t>
        </is>
      </c>
      <c r="M159" s="57" t="n"/>
      <c r="N159" s="57" t="n"/>
      <c r="O159" s="58" t="n"/>
      <c r="P159" s="60" t="n">
        <v>120</v>
      </c>
      <c r="Q159" s="57" t="n"/>
    </row>
    <row r="160" ht="23.85" customHeight="1" s="34">
      <c r="A160" s="57" t="inlineStr">
        <is>
          <t>A0159</t>
        </is>
      </c>
      <c r="B160" s="58" t="n">
        <v>46195</v>
      </c>
      <c r="C160" s="57" t="inlineStr">
        <is>
          <t>Appel</t>
        </is>
      </c>
      <c r="D160" s="57" t="inlineStr">
        <is>
          <t>E030</t>
        </is>
      </c>
      <c r="E160" s="57">
        <f>IFERROR(INDEX(Entreprises!$B$2:$B$3000,MATCH(D160,Entreprises!$A$2:$A$3000,0)),"")</f>
        <v/>
      </c>
      <c r="F160" s="57" t="inlineStr">
        <is>
          <t>C050</t>
        </is>
      </c>
      <c r="G160" s="57">
        <f>IFERROR(INDEX(Contacts!$E$2:$E$3000,MATCH(F160,Contacts!$A$2:$A$3000,0)),"")</f>
        <v/>
      </c>
      <c r="H160" s="57" t="inlineStr">
        <is>
          <t>U007</t>
        </is>
      </c>
      <c r="I160" s="57">
        <f>IFERROR(INDEX(Commerciaux!$D$2:$D$3000,MATCH(H160,Commerciaux!$A$2:$A$3000,0)),"")</f>
        <v/>
      </c>
      <c r="J160" s="57" t="inlineStr">
        <is>
          <t>Point d'avancement projet</t>
        </is>
      </c>
      <c r="K160" s="40" t="inlineStr">
        <is>
          <t>Échange téléphonique avec Pierre-Yves Guérin sur le calendrier concernant les emballages sans plastique de la distribution électrique. Décision interne attendue dans les prochaines semaines.</t>
        </is>
      </c>
      <c r="L160" s="57" t="inlineStr">
        <is>
          <t>Positif</t>
        </is>
      </c>
      <c r="M160" s="57" t="n"/>
      <c r="N160" s="57" t="inlineStr">
        <is>
          <t>Relancer pour obtenir un retour</t>
        </is>
      </c>
      <c r="O160" s="58" t="n">
        <v>46216</v>
      </c>
      <c r="P160" s="60" t="n">
        <v>20</v>
      </c>
      <c r="Q160" s="57" t="n"/>
    </row>
    <row r="161" ht="57.45" customHeight="1" s="34">
      <c r="A161" s="57" t="inlineStr">
        <is>
          <t>A0160</t>
        </is>
      </c>
      <c r="B161" s="58" t="n">
        <v>46197</v>
      </c>
      <c r="C161" s="57" t="inlineStr">
        <is>
          <t>Visite terrain</t>
        </is>
      </c>
      <c r="D161" s="57" t="inlineStr">
        <is>
          <t>E001</t>
        </is>
      </c>
      <c r="E161" s="57">
        <f>IFERROR(INDEX(Entreprises!$B$2:$B$3000,MATCH(D161,Entreprises!$A$2:$A$3000,0)),"")</f>
        <v/>
      </c>
      <c r="F161" s="57" t="inlineStr">
        <is>
          <t>C001</t>
        </is>
      </c>
      <c r="G161" s="57">
        <f>IFERROR(INDEX(Contacts!$E$2:$E$3000,MATCH(F161,Contacts!$A$2:$A$3000,0)),"")</f>
        <v/>
      </c>
      <c r="H161" s="57" t="inlineStr">
        <is>
          <t>U002</t>
        </is>
      </c>
      <c r="I161" s="57">
        <f>IFERROR(INDEX(Commerciaux!$D$2:$D$3000,MATCH(H161,Commerciaux!$A$2:$A$3000,0)),"")</f>
        <v/>
      </c>
      <c r="J161" s="57" t="inlineStr">
        <is>
          <t>Compte rendu de visite</t>
        </is>
      </c>
      <c r="K161" s="40" t="inlineStr">
        <is>
          <t>Visite au site de Villeneuve-d'Ascq avec Nathalie Dubreuil et Kevin Lemaire. Bilan semestriel positif sur la qualité d'impression, mais remarque appuyée sur les délais : deux livraisons hors fenêtre au printemps. Nathalie Dubreuil confirme le lancement du renouvellement de l'accord-cadre à la rentrée et demande une proposition intégrant une indexation papier plafonnée. Kevin Lemaire s'intéresse aux étiquettes en papier certifié pour la gamme bio et à un passage au mono-matériau.</t>
        </is>
      </c>
      <c r="L161" s="57" t="inlineStr">
        <is>
          <t>Positif</t>
        </is>
      </c>
      <c r="M161" s="57" t="inlineStr">
        <is>
          <t>T001</t>
        </is>
      </c>
      <c r="N161" s="57" t="inlineStr">
        <is>
          <t>Envoyer la proposition de renouvellement avant fin septembre</t>
        </is>
      </c>
      <c r="O161" s="58" t="n">
        <v>46295</v>
      </c>
      <c r="P161" s="60" t="n">
        <v>120</v>
      </c>
      <c r="Q161" s="57" t="inlineStr">
        <is>
          <t>Kevin Lemaire</t>
        </is>
      </c>
    </row>
    <row r="162" ht="35.05" customHeight="1" s="34">
      <c r="A162" s="57" t="inlineStr">
        <is>
          <t>A0161</t>
        </is>
      </c>
      <c r="B162" s="58" t="n">
        <v>46198</v>
      </c>
      <c r="C162" s="57" t="inlineStr">
        <is>
          <t>Visite terrain</t>
        </is>
      </c>
      <c r="D162" s="57" t="inlineStr">
        <is>
          <t>E011</t>
        </is>
      </c>
      <c r="E162" s="57">
        <f>IFERROR(INDEX(Entreprises!$B$2:$B$3000,MATCH(D162,Entreprises!$A$2:$A$3000,0)),"")</f>
        <v/>
      </c>
      <c r="F162" s="57" t="inlineStr">
        <is>
          <t>C017</t>
        </is>
      </c>
      <c r="G162" s="57">
        <f>IFERROR(INDEX(Contacts!$E$2:$E$3000,MATCH(F162,Contacts!$A$2:$A$3000,0)),"")</f>
        <v/>
      </c>
      <c r="H162" s="57" t="inlineStr">
        <is>
          <t>U003</t>
        </is>
      </c>
      <c r="I162" s="57">
        <f>IFERROR(INDEX(Commerciaux!$D$2:$D$3000,MATCH(H162,Commerciaux!$A$2:$A$3000,0)),"")</f>
        <v/>
      </c>
      <c r="J162" s="57" t="inlineStr">
        <is>
          <t>Visite de la ligne de conditionnement</t>
        </is>
      </c>
      <c r="K162" s="40" t="inlineStr">
        <is>
          <t>Visite du site avec Stéphane Klein et l'équipe de production. Observation de la ligne de conditionnement ; points d'amélioration identifiés sur les changements de format. Intérêt exprimé pour la reconquête du volume caisses carton.</t>
        </is>
      </c>
      <c r="L162" s="57" t="inlineStr">
        <is>
          <t>Positif</t>
        </is>
      </c>
      <c r="M162" s="57" t="n"/>
      <c r="N162" s="57" t="n"/>
      <c r="O162" s="58" t="n"/>
      <c r="P162" s="60" t="n">
        <v>75</v>
      </c>
      <c r="Q162" s="57" t="n"/>
    </row>
    <row r="163" ht="23.85" customHeight="1" s="34">
      <c r="A163" s="57" t="inlineStr">
        <is>
          <t>A0162</t>
        </is>
      </c>
      <c r="B163" s="58" t="n">
        <v>46198</v>
      </c>
      <c r="C163" s="57" t="inlineStr">
        <is>
          <t>Appel</t>
        </is>
      </c>
      <c r="D163" s="57" t="inlineStr">
        <is>
          <t>E027</t>
        </is>
      </c>
      <c r="E163" s="57">
        <f>IFERROR(INDEX(Entreprises!$B$2:$B$3000,MATCH(D163,Entreprises!$A$2:$A$3000,0)),"")</f>
        <v/>
      </c>
      <c r="F163" s="57" t="inlineStr">
        <is>
          <t>C045</t>
        </is>
      </c>
      <c r="G163" s="57">
        <f>IFERROR(INDEX(Contacts!$E$2:$E$3000,MATCH(F163,Contacts!$A$2:$A$3000,0)),"")</f>
        <v/>
      </c>
      <c r="H163" s="57" t="inlineStr">
        <is>
          <t>U007</t>
        </is>
      </c>
      <c r="I163" s="57">
        <f>IFERROR(INDEX(Commerciaux!$D$2:$D$3000,MATCH(H163,Commerciaux!$A$2:$A$3000,0)),"")</f>
        <v/>
      </c>
      <c r="J163" s="57" t="inlineStr">
        <is>
          <t>Ajustement de commande</t>
        </is>
      </c>
      <c r="K163" s="40" t="inlineStr">
        <is>
          <t>Appel de Alexandre Colin pour ajuster les quantités de la prochaine commande de coffrets rigides premium. Modification prise en compte.</t>
        </is>
      </c>
      <c r="L163" s="57" t="inlineStr">
        <is>
          <t>Neutre</t>
        </is>
      </c>
      <c r="M163" s="57" t="n"/>
      <c r="N163" s="57" t="inlineStr">
        <is>
          <t>Envoyer le devis</t>
        </is>
      </c>
      <c r="O163" s="58" t="n">
        <v>46205</v>
      </c>
      <c r="P163" s="60" t="n">
        <v>10</v>
      </c>
      <c r="Q163" s="57" t="n"/>
    </row>
    <row r="164" ht="23.85" customHeight="1" s="34">
      <c r="A164" s="57" t="inlineStr">
        <is>
          <t>A0163</t>
        </is>
      </c>
      <c r="B164" s="58" t="n">
        <v>46199</v>
      </c>
      <c r="C164" s="57" t="inlineStr">
        <is>
          <t>E-mail</t>
        </is>
      </c>
      <c r="D164" s="57" t="inlineStr">
        <is>
          <t>E001</t>
        </is>
      </c>
      <c r="E164" s="57">
        <f>IFERROR(INDEX(Entreprises!$B$2:$B$3000,MATCH(D164,Entreprises!$A$2:$A$3000,0)),"")</f>
        <v/>
      </c>
      <c r="F164" s="57" t="inlineStr">
        <is>
          <t>C001</t>
        </is>
      </c>
      <c r="G164" s="57">
        <f>IFERROR(INDEX(Contacts!$E$2:$E$3000,MATCH(F164,Contacts!$A$2:$A$3000,0)),"")</f>
        <v/>
      </c>
      <c r="H164" s="57" t="inlineStr">
        <is>
          <t>U002</t>
        </is>
      </c>
      <c r="I164" s="57">
        <f>IFERROR(INDEX(Commerciaux!$D$2:$D$3000,MATCH(H164,Commerciaux!$A$2:$A$3000,0)),"")</f>
        <v/>
      </c>
      <c r="J164" s="57" t="inlineStr">
        <is>
          <t>Envoi du compte rendu de visite</t>
        </is>
      </c>
      <c r="K164" s="40" t="inlineStr">
        <is>
          <t>Envoi à Nathalie Dubreuil du compte rendu de la visite du 24/06/2026 et des prochaines étapes convenues.</t>
        </is>
      </c>
      <c r="L164" s="57" t="inlineStr">
        <is>
          <t>Neutre</t>
        </is>
      </c>
      <c r="M164" s="57" t="inlineStr">
        <is>
          <t>T001</t>
        </is>
      </c>
      <c r="N164" s="57" t="n"/>
      <c r="O164" s="58" t="n"/>
      <c r="P164" s="60" t="n"/>
      <c r="Q164" s="57" t="n"/>
    </row>
    <row r="165" ht="35.05" customHeight="1" s="34">
      <c r="A165" s="57" t="inlineStr">
        <is>
          <t>A0164</t>
        </is>
      </c>
      <c r="B165" s="58" t="n">
        <v>46203</v>
      </c>
      <c r="C165" s="57" t="inlineStr">
        <is>
          <t>Visite terrain</t>
        </is>
      </c>
      <c r="D165" s="57" t="inlineStr">
        <is>
          <t>E013</t>
        </is>
      </c>
      <c r="E165" s="57">
        <f>IFERROR(INDEX(Entreprises!$B$2:$B$3000,MATCH(D165,Entreprises!$A$2:$A$3000,0)),"")</f>
        <v/>
      </c>
      <c r="F165" s="57" t="inlineStr">
        <is>
          <t>C021</t>
        </is>
      </c>
      <c r="G165" s="57">
        <f>IFERROR(INDEX(Contacts!$E$2:$E$3000,MATCH(F165,Contacts!$A$2:$A$3000,0)),"")</f>
        <v/>
      </c>
      <c r="H165" s="57" t="inlineStr">
        <is>
          <t>U004</t>
        </is>
      </c>
      <c r="I165" s="57">
        <f>IFERROR(INDEX(Commerciaux!$D$2:$D$3000,MATCH(H165,Commerciaux!$A$2:$A$3000,0)),"")</f>
        <v/>
      </c>
      <c r="J165" s="57" t="inlineStr">
        <is>
          <t>Compte rendu de visite</t>
        </is>
      </c>
      <c r="K165" s="40" t="inlineStr">
        <is>
          <t>Point annuel avec Christine Blanc et Yannick Morin. Demande d'une baisse de prix de 3 % sur les étuis en contrepartie d'un engagement de volume sur deux ans. Intérêt confirmé pour un essai en carton recyclé, que Yannick Morin suivra en production.</t>
        </is>
      </c>
      <c r="L165" s="57" t="inlineStr">
        <is>
          <t>Positif</t>
        </is>
      </c>
      <c r="M165" s="57" t="inlineStr">
        <is>
          <t>T022</t>
        </is>
      </c>
      <c r="N165" s="57" t="inlineStr">
        <is>
          <t>Chiffrer les deux scénarios et envoyer le contrat</t>
        </is>
      </c>
      <c r="O165" s="58" t="n">
        <v>46227</v>
      </c>
      <c r="P165" s="60" t="n">
        <v>120</v>
      </c>
      <c r="Q165" s="57" t="inlineStr">
        <is>
          <t>Yannick Morin</t>
        </is>
      </c>
    </row>
    <row r="166" ht="15" customHeight="1" s="34">
      <c r="A166" s="57" t="inlineStr">
        <is>
          <t>A0165</t>
        </is>
      </c>
      <c r="B166" s="58" t="n">
        <v>46204</v>
      </c>
      <c r="C166" s="57" t="inlineStr">
        <is>
          <t>E-mail</t>
        </is>
      </c>
      <c r="D166" s="57" t="inlineStr">
        <is>
          <t>E010</t>
        </is>
      </c>
      <c r="E166" s="57">
        <f>IFERROR(INDEX(Entreprises!$B$2:$B$3000,MATCH(D166,Entreprises!$A$2:$A$3000,0)),"")</f>
        <v/>
      </c>
      <c r="F166" s="57" t="inlineStr">
        <is>
          <t>C016</t>
        </is>
      </c>
      <c r="G166" s="57">
        <f>IFERROR(INDEX(Contacts!$E$2:$E$3000,MATCH(F166,Contacts!$A$2:$A$3000,0)),"")</f>
        <v/>
      </c>
      <c r="H166" s="57" t="inlineStr">
        <is>
          <t>U003</t>
        </is>
      </c>
      <c r="I166" s="57">
        <f>IFERROR(INDEX(Commerciaux!$D$2:$D$3000,MATCH(H166,Commerciaux!$A$2:$A$3000,0)),"")</f>
        <v/>
      </c>
      <c r="J166" s="57" t="inlineStr">
        <is>
          <t>Envoi de fiche technique</t>
        </is>
      </c>
      <c r="K166" s="40" t="inlineStr">
        <is>
          <t>Envoi à Damien Royer de la fiche technique et des certificats des coffrets rigides premium.</t>
        </is>
      </c>
      <c r="L166" s="57" t="inlineStr">
        <is>
          <t>Neutre</t>
        </is>
      </c>
      <c r="M166" s="57" t="n"/>
      <c r="N166" s="57" t="n"/>
      <c r="O166" s="58" t="n"/>
      <c r="P166" s="60" t="n"/>
      <c r="Q166" s="57" t="n"/>
    </row>
    <row r="167" ht="23.85" customHeight="1" s="34">
      <c r="A167" s="57" t="inlineStr">
        <is>
          <t>A0166</t>
        </is>
      </c>
      <c r="B167" s="58" t="n">
        <v>46204</v>
      </c>
      <c r="C167" s="57" t="inlineStr">
        <is>
          <t>E-mail</t>
        </is>
      </c>
      <c r="D167" s="57" t="inlineStr">
        <is>
          <t>E021</t>
        </is>
      </c>
      <c r="E167" s="57">
        <f>IFERROR(INDEX(Entreprises!$B$2:$B$3000,MATCH(D167,Entreprises!$A$2:$A$3000,0)),"")</f>
        <v/>
      </c>
      <c r="F167" s="57" t="inlineStr">
        <is>
          <t>C033</t>
        </is>
      </c>
      <c r="G167" s="57">
        <f>IFERROR(INDEX(Contacts!$E$2:$E$3000,MATCH(F167,Contacts!$A$2:$A$3000,0)),"")</f>
        <v/>
      </c>
      <c r="H167" s="57" t="inlineStr">
        <is>
          <t>U005</t>
        </is>
      </c>
      <c r="I167" s="57">
        <f>IFERROR(INDEX(Commerciaux!$D$2:$D$3000,MATCH(H167,Commerciaux!$A$2:$A$3000,0)),"")</f>
        <v/>
      </c>
      <c r="J167" s="57" t="inlineStr">
        <is>
          <t>Envoi de fiche technique</t>
        </is>
      </c>
      <c r="K167" s="40" t="inlineStr">
        <is>
          <t>Envoi à Valérie Dumas de la fiche technique et des certificats des caisses carton ondulé personnalisées.</t>
        </is>
      </c>
      <c r="L167" s="57" t="inlineStr">
        <is>
          <t>Neutre</t>
        </is>
      </c>
      <c r="M167" s="57" t="n"/>
      <c r="N167" s="57" t="n"/>
      <c r="O167" s="58" t="n"/>
      <c r="P167" s="60" t="n"/>
      <c r="Q167" s="57" t="n"/>
    </row>
    <row r="168" ht="35.05" customHeight="1" s="34">
      <c r="A168" s="57" t="inlineStr">
        <is>
          <t>A0167</t>
        </is>
      </c>
      <c r="B168" s="58" t="n">
        <v>46205</v>
      </c>
      <c r="C168" s="57" t="inlineStr">
        <is>
          <t>Visite terrain</t>
        </is>
      </c>
      <c r="D168" s="57" t="inlineStr">
        <is>
          <t>E008</t>
        </is>
      </c>
      <c r="E168" s="57">
        <f>IFERROR(INDEX(Entreprises!$B$2:$B$3000,MATCH(D168,Entreprises!$A$2:$A$3000,0)),"")</f>
        <v/>
      </c>
      <c r="F168" s="57" t="inlineStr">
        <is>
          <t>C012</t>
        </is>
      </c>
      <c r="G168" s="57">
        <f>IFERROR(INDEX(Contacts!$E$2:$E$3000,MATCH(F168,Contacts!$A$2:$A$3000,0)),"")</f>
        <v/>
      </c>
      <c r="H168" s="57" t="inlineStr">
        <is>
          <t>U003</t>
        </is>
      </c>
      <c r="I168" s="57">
        <f>IFERROR(INDEX(Commerciaux!$D$2:$D$3000,MATCH(H168,Commerciaux!$A$2:$A$3000,0)),"")</f>
        <v/>
      </c>
      <c r="J168" s="57" t="inlineStr">
        <is>
          <t>Visite de la ligne de conditionnement</t>
        </is>
      </c>
      <c r="K168" s="40" t="inlineStr">
        <is>
          <t>Visite du site avec Marie-Laure Rivière et l'équipe de production. Observation de la ligne de conditionnement ; points d'amélioration identifiés sur les changements de format. Intérêt exprimé pour la consultation sur les étuis allégés 2027.</t>
        </is>
      </c>
      <c r="L168" s="57" t="inlineStr">
        <is>
          <t>Positif</t>
        </is>
      </c>
      <c r="M168" s="57" t="n"/>
      <c r="N168" s="57" t="n"/>
      <c r="O168" s="58" t="n"/>
      <c r="P168" s="60" t="n">
        <v>60</v>
      </c>
      <c r="Q168" s="57" t="n"/>
    </row>
    <row r="169" ht="35.05" customHeight="1" s="34">
      <c r="A169" s="57" t="inlineStr">
        <is>
          <t>A0168</t>
        </is>
      </c>
      <c r="B169" s="58" t="n">
        <v>46205</v>
      </c>
      <c r="C169" s="57" t="inlineStr">
        <is>
          <t>Visite terrain</t>
        </is>
      </c>
      <c r="D169" s="57" t="inlineStr">
        <is>
          <t>E030</t>
        </is>
      </c>
      <c r="E169" s="57">
        <f>IFERROR(INDEX(Entreprises!$B$2:$B$3000,MATCH(D169,Entreprises!$A$2:$A$3000,0)),"")</f>
        <v/>
      </c>
      <c r="F169" s="57" t="inlineStr">
        <is>
          <t>C049</t>
        </is>
      </c>
      <c r="G169" s="57">
        <f>IFERROR(INDEX(Contacts!$E$2:$E$3000,MATCH(F169,Contacts!$A$2:$A$3000,0)),"")</f>
        <v/>
      </c>
      <c r="H169" s="57" t="inlineStr">
        <is>
          <t>U007</t>
        </is>
      </c>
      <c r="I169" s="57">
        <f>IFERROR(INDEX(Commerciaux!$D$2:$D$3000,MATCH(H169,Commerciaux!$A$2:$A$3000,0)),"")</f>
        <v/>
      </c>
      <c r="J169" s="57" t="inlineStr">
        <is>
          <t>Visite de suivi</t>
        </is>
      </c>
      <c r="K169" s="40" t="inlineStr">
        <is>
          <t>Visite de suivi avec Nadia Haddad. Revue des commandes en cours et des prévisions du trimestre sur les emballages éco-conçus mono-matériau. Pas de difficulté particulière signalée. Nadia Haddad évoque les emballages sans plastique de la distribution électrique.</t>
        </is>
      </c>
      <c r="L169" s="57" t="inlineStr">
        <is>
          <t>Positif</t>
        </is>
      </c>
      <c r="M169" s="57" t="n"/>
      <c r="N169" s="57" t="n"/>
      <c r="O169" s="58" t="n"/>
      <c r="P169" s="60" t="n">
        <v>75</v>
      </c>
      <c r="Q169" s="57" t="n"/>
    </row>
    <row r="170" ht="23.85" customHeight="1" s="34">
      <c r="A170" s="57" t="inlineStr">
        <is>
          <t>A0169</t>
        </is>
      </c>
      <c r="B170" s="58" t="n">
        <v>46206</v>
      </c>
      <c r="C170" s="57" t="inlineStr">
        <is>
          <t>E-mail</t>
        </is>
      </c>
      <c r="D170" s="57" t="inlineStr">
        <is>
          <t>E013</t>
        </is>
      </c>
      <c r="E170" s="57">
        <f>IFERROR(INDEX(Entreprises!$B$2:$B$3000,MATCH(D170,Entreprises!$A$2:$A$3000,0)),"")</f>
        <v/>
      </c>
      <c r="F170" s="57" t="inlineStr">
        <is>
          <t>C021</t>
        </is>
      </c>
      <c r="G170" s="57">
        <f>IFERROR(INDEX(Contacts!$E$2:$E$3000,MATCH(F170,Contacts!$A$2:$A$3000,0)),"")</f>
        <v/>
      </c>
      <c r="H170" s="57" t="inlineStr">
        <is>
          <t>U004</t>
        </is>
      </c>
      <c r="I170" s="57">
        <f>IFERROR(INDEX(Commerciaux!$D$2:$D$3000,MATCH(H170,Commerciaux!$A$2:$A$3000,0)),"")</f>
        <v/>
      </c>
      <c r="J170" s="57" t="inlineStr">
        <is>
          <t>Envoi du compte rendu de visite</t>
        </is>
      </c>
      <c r="K170" s="40" t="inlineStr">
        <is>
          <t>Envoi à Christine Blanc du compte rendu de la visite du 30/06/2026 et des prochaines étapes convenues.</t>
        </is>
      </c>
      <c r="L170" s="57" t="inlineStr">
        <is>
          <t>Neutre</t>
        </is>
      </c>
      <c r="M170" s="57" t="inlineStr">
        <is>
          <t>T022</t>
        </is>
      </c>
      <c r="N170" s="57" t="n"/>
      <c r="O170" s="58" t="n"/>
      <c r="P170" s="60" t="n"/>
      <c r="Q170" s="57" t="n"/>
    </row>
    <row r="171" ht="15" customHeight="1" s="34">
      <c r="A171" s="57" t="inlineStr">
        <is>
          <t>A0170</t>
        </is>
      </c>
      <c r="B171" s="58" t="n">
        <v>46206</v>
      </c>
      <c r="C171" s="57" t="inlineStr">
        <is>
          <t>E-mail</t>
        </is>
      </c>
      <c r="D171" s="57" t="inlineStr">
        <is>
          <t>E018</t>
        </is>
      </c>
      <c r="E171" s="57">
        <f>IFERROR(INDEX(Entreprises!$B$2:$B$3000,MATCH(D171,Entreprises!$A$2:$A$3000,0)),"")</f>
        <v/>
      </c>
      <c r="F171" s="57" t="inlineStr">
        <is>
          <t>C029</t>
        </is>
      </c>
      <c r="G171" s="57">
        <f>IFERROR(INDEX(Contacts!$E$2:$E$3000,MATCH(F171,Contacts!$A$2:$A$3000,0)),"")</f>
        <v/>
      </c>
      <c r="H171" s="57" t="inlineStr">
        <is>
          <t>U005</t>
        </is>
      </c>
      <c r="I171" s="57">
        <f>IFERROR(INDEX(Commerciaux!$D$2:$D$3000,MATCH(H171,Commerciaux!$A$2:$A$3000,0)),"")</f>
        <v/>
      </c>
      <c r="J171" s="57" t="inlineStr">
        <is>
          <t>Demande de devis</t>
        </is>
      </c>
      <c r="K171" s="40" t="inlineStr">
        <is>
          <t>Guillaume Petit demande un devis complémentaire pour une série courte d'étuis spiritueux luxe.</t>
        </is>
      </c>
      <c r="L171" s="57" t="inlineStr">
        <is>
          <t>Neutre</t>
        </is>
      </c>
      <c r="M171" s="57" t="n"/>
      <c r="N171" s="57" t="n"/>
      <c r="O171" s="58" t="n"/>
      <c r="P171" s="60" t="n"/>
      <c r="Q171" s="57" t="n"/>
    </row>
    <row r="172" ht="23.85" customHeight="1" s="34">
      <c r="A172" s="57" t="inlineStr">
        <is>
          <t>A0171</t>
        </is>
      </c>
      <c r="B172" s="58" t="n">
        <v>46209</v>
      </c>
      <c r="C172" s="57" t="inlineStr">
        <is>
          <t>Note</t>
        </is>
      </c>
      <c r="D172" s="57" t="inlineStr">
        <is>
          <t>E029</t>
        </is>
      </c>
      <c r="E172" s="57">
        <f>IFERROR(INDEX(Entreprises!$B$2:$B$3000,MATCH(D172,Entreprises!$A$2:$A$3000,0)),"")</f>
        <v/>
      </c>
      <c r="F172" s="57" t="inlineStr">
        <is>
          <t>C048</t>
        </is>
      </c>
      <c r="G172" s="57">
        <f>IFERROR(INDEX(Contacts!$E$2:$E$3000,MATCH(F172,Contacts!$A$2:$A$3000,0)),"")</f>
        <v/>
      </c>
      <c r="H172" s="57" t="inlineStr">
        <is>
          <t>U007</t>
        </is>
      </c>
      <c r="I172" s="57">
        <f>IFERROR(INDEX(Commerciaux!$D$2:$D$3000,MATCH(H172,Commerciaux!$A$2:$A$3000,0)),"")</f>
        <v/>
      </c>
      <c r="J172" s="57" t="inlineStr">
        <is>
          <t>Recommandation client</t>
        </is>
      </c>
      <c r="K172" s="40" t="inlineStr">
        <is>
          <t>Note interne : Vincent Brunet nous a été recommandé par un client. Besoin potentiel d'emballages de transport pour une activité de distribution.</t>
        </is>
      </c>
      <c r="L172" s="57" t="inlineStr">
        <is>
          <t>Neutre</t>
        </is>
      </c>
      <c r="M172" s="57" t="n"/>
      <c r="N172" s="57" t="inlineStr">
        <is>
          <t>Prendre contact</t>
        </is>
      </c>
      <c r="O172" s="58" t="n">
        <v>46218</v>
      </c>
      <c r="P172" s="60" t="n"/>
      <c r="Q172" s="57" t="n"/>
    </row>
    <row r="173" ht="57.45" customHeight="1" s="34">
      <c r="A173" s="57" t="inlineStr">
        <is>
          <t>A0172</t>
        </is>
      </c>
      <c r="B173" s="58" t="n">
        <v>46211</v>
      </c>
      <c r="C173" s="57" t="inlineStr">
        <is>
          <t>Visite terrain</t>
        </is>
      </c>
      <c r="D173" s="57" t="inlineStr">
        <is>
          <t>E003</t>
        </is>
      </c>
      <c r="E173" s="57">
        <f>IFERROR(INDEX(Entreprises!$B$2:$B$3000,MATCH(D173,Entreprises!$A$2:$A$3000,0)),"")</f>
        <v/>
      </c>
      <c r="F173" s="57" t="inlineStr">
        <is>
          <t>C005</t>
        </is>
      </c>
      <c r="G173" s="57">
        <f>IFERROR(INDEX(Contacts!$E$2:$E$3000,MATCH(F173,Contacts!$A$2:$A$3000,0)),"")</f>
        <v/>
      </c>
      <c r="H173" s="57" t="inlineStr">
        <is>
          <t>U002</t>
        </is>
      </c>
      <c r="I173" s="57">
        <f>IFERROR(INDEX(Commerciaux!$D$2:$D$3000,MATCH(H173,Commerciaux!$A$2:$A$3000,0)),"")</f>
        <v/>
      </c>
      <c r="J173" s="57" t="inlineStr">
        <is>
          <t>Compte rendu de visite</t>
        </is>
      </c>
      <c r="K173" s="40" t="inlineStr">
        <is>
          <t>Réunion qualité avec Sophie Marchand suite à la non-conformité d'impression du lot de juin (numéro de lot illisible sur environ 2 % des étuis). Présentation du plan d'actions : contrôle vision renforcé et double validation des BAT. Sophie Marchand maintient les commandes mais annonce un audit fournisseur en novembre. Olivier Chen évoque un projet de refonte des notices multilingues pour 2027.</t>
        </is>
      </c>
      <c r="L173" s="57" t="inlineStr">
        <is>
          <t>Neutre</t>
        </is>
      </c>
      <c r="M173" s="57" t="inlineStr">
        <is>
          <t>T006</t>
        </is>
      </c>
      <c r="N173" s="57" t="inlineStr">
        <is>
          <t>Transmettre le rapport 8D finalisé et caler la date d'audit</t>
        </is>
      </c>
      <c r="O173" s="58" t="n">
        <v>46234</v>
      </c>
      <c r="P173" s="60" t="n">
        <v>105</v>
      </c>
      <c r="Q173" s="57" t="inlineStr">
        <is>
          <t>Olivier Chen</t>
        </is>
      </c>
    </row>
    <row r="174" ht="23.85" customHeight="1" s="34">
      <c r="A174" s="57" t="inlineStr">
        <is>
          <t>A0173</t>
        </is>
      </c>
      <c r="B174" s="58" t="n">
        <v>46216</v>
      </c>
      <c r="C174" s="57" t="inlineStr">
        <is>
          <t>E-mail</t>
        </is>
      </c>
      <c r="D174" s="57" t="inlineStr">
        <is>
          <t>E003</t>
        </is>
      </c>
      <c r="E174" s="57">
        <f>IFERROR(INDEX(Entreprises!$B$2:$B$3000,MATCH(D174,Entreprises!$A$2:$A$3000,0)),"")</f>
        <v/>
      </c>
      <c r="F174" s="57" t="inlineStr">
        <is>
          <t>C005</t>
        </is>
      </c>
      <c r="G174" s="57">
        <f>IFERROR(INDEX(Contacts!$E$2:$E$3000,MATCH(F174,Contacts!$A$2:$A$3000,0)),"")</f>
        <v/>
      </c>
      <c r="H174" s="57" t="inlineStr">
        <is>
          <t>U002</t>
        </is>
      </c>
      <c r="I174" s="57">
        <f>IFERROR(INDEX(Commerciaux!$D$2:$D$3000,MATCH(H174,Commerciaux!$A$2:$A$3000,0)),"")</f>
        <v/>
      </c>
      <c r="J174" s="57" t="inlineStr">
        <is>
          <t>Envoi du compte rendu de visite</t>
        </is>
      </c>
      <c r="K174" s="40" t="inlineStr">
        <is>
          <t>Envoi à Sophie Marchand du compte rendu de la visite du 08/07/2026 et des prochaines étapes convenues.</t>
        </is>
      </c>
      <c r="L174" s="57" t="inlineStr">
        <is>
          <t>Neutre</t>
        </is>
      </c>
      <c r="M174" s="57" t="inlineStr">
        <is>
          <t>T006</t>
        </is>
      </c>
      <c r="N174" s="57" t="n"/>
      <c r="O174" s="58" t="n"/>
      <c r="P174" s="60" t="n"/>
      <c r="Q174" s="57" t="n"/>
    </row>
    <row r="175" ht="23.85" customHeight="1" s="34">
      <c r="A175" s="57" t="inlineStr">
        <is>
          <t>A0174</t>
        </is>
      </c>
      <c r="B175" s="58" t="n">
        <v>46216</v>
      </c>
      <c r="C175" s="57" t="inlineStr">
        <is>
          <t>Réunion visio</t>
        </is>
      </c>
      <c r="D175" s="57" t="inlineStr">
        <is>
          <t>E013</t>
        </is>
      </c>
      <c r="E175" s="57">
        <f>IFERROR(INDEX(Entreprises!$B$2:$B$3000,MATCH(D175,Entreprises!$A$2:$A$3000,0)),"")</f>
        <v/>
      </c>
      <c r="F175" s="57" t="inlineStr">
        <is>
          <t>C021</t>
        </is>
      </c>
      <c r="G175" s="57">
        <f>IFERROR(INDEX(Contacts!$E$2:$E$3000,MATCH(F175,Contacts!$A$2:$A$3000,0)),"")</f>
        <v/>
      </c>
      <c r="H175" s="57" t="inlineStr">
        <is>
          <t>U004</t>
        </is>
      </c>
      <c r="I175" s="57">
        <f>IFERROR(INDEX(Commerciaux!$D$2:$D$3000,MATCH(H175,Commerciaux!$A$2:$A$3000,0)),"")</f>
        <v/>
      </c>
      <c r="J175" s="57" t="inlineStr">
        <is>
          <t>Cadrage du besoin</t>
        </is>
      </c>
      <c r="K175" s="40" t="inlineStr">
        <is>
          <t>Réunion Teams avec Christine Blanc pour cadrer le besoin concernant le passage à des étuis en carton recyclé. Liste des prérequis techniques partagée.</t>
        </is>
      </c>
      <c r="L175" s="57" t="inlineStr">
        <is>
          <t>Positif</t>
        </is>
      </c>
      <c r="M175" s="57" t="inlineStr">
        <is>
          <t>T022</t>
        </is>
      </c>
      <c r="N175" s="57" t="n"/>
      <c r="O175" s="58" t="n"/>
      <c r="P175" s="60" t="n">
        <v>45</v>
      </c>
      <c r="Q175" s="57" t="n"/>
    </row>
    <row r="176" ht="15" customHeight="1" s="34">
      <c r="A176" s="57" t="inlineStr">
        <is>
          <t>A0175</t>
        </is>
      </c>
      <c r="B176" s="58" t="n">
        <v>46218</v>
      </c>
      <c r="C176" s="57" t="inlineStr">
        <is>
          <t>E-mail</t>
        </is>
      </c>
      <c r="D176" s="57" t="inlineStr">
        <is>
          <t>E029</t>
        </is>
      </c>
      <c r="E176" s="57">
        <f>IFERROR(INDEX(Entreprises!$B$2:$B$3000,MATCH(D176,Entreprises!$A$2:$A$3000,0)),"")</f>
        <v/>
      </c>
      <c r="F176" s="57" t="inlineStr">
        <is>
          <t>C048</t>
        </is>
      </c>
      <c r="G176" s="57">
        <f>IFERROR(INDEX(Contacts!$E$2:$E$3000,MATCH(F176,Contacts!$A$2:$A$3000,0)),"")</f>
        <v/>
      </c>
      <c r="H176" s="57" t="inlineStr">
        <is>
          <t>U007</t>
        </is>
      </c>
      <c r="I176" s="57">
        <f>IFERROR(INDEX(Commerciaux!$D$2:$D$3000,MATCH(H176,Commerciaux!$A$2:$A$3000,0)),"")</f>
        <v/>
      </c>
      <c r="J176" s="57" t="inlineStr">
        <is>
          <t>Prise de contact</t>
        </is>
      </c>
      <c r="K176" s="40" t="inlineStr">
        <is>
          <t>Premier e-mail de présentation et proposition d'un rendez-vous de découverte.</t>
        </is>
      </c>
      <c r="L176" s="57" t="inlineStr">
        <is>
          <t>Neutre</t>
        </is>
      </c>
      <c r="M176" s="57" t="inlineStr">
        <is>
          <t>T045</t>
        </is>
      </c>
      <c r="N176" s="57" t="inlineStr">
        <is>
          <t>Relancer en septembre</t>
        </is>
      </c>
      <c r="O176" s="58" t="n">
        <v>46280</v>
      </c>
      <c r="P176" s="60" t="n"/>
      <c r="Q176" s="57" t="n"/>
    </row>
    <row r="177" ht="23.85" customHeight="1" s="34">
      <c r="A177" s="57" t="inlineStr">
        <is>
          <t>A0176</t>
        </is>
      </c>
      <c r="B177" s="58" t="n">
        <v>46220</v>
      </c>
      <c r="C177" s="57" t="inlineStr">
        <is>
          <t>E-mail</t>
        </is>
      </c>
      <c r="D177" s="57" t="inlineStr">
        <is>
          <t>E016</t>
        </is>
      </c>
      <c r="E177" s="57">
        <f>IFERROR(INDEX(Entreprises!$B$2:$B$3000,MATCH(D177,Entreprises!$A$2:$A$3000,0)),"")</f>
        <v/>
      </c>
      <c r="F177" s="57" t="inlineStr">
        <is>
          <t>C026</t>
        </is>
      </c>
      <c r="G177" s="57">
        <f>IFERROR(INDEX(Contacts!$E$2:$E$3000,MATCH(F177,Contacts!$A$2:$A$3000,0)),"")</f>
        <v/>
      </c>
      <c r="H177" s="57" t="inlineStr">
        <is>
          <t>U004</t>
        </is>
      </c>
      <c r="I177" s="57">
        <f>IFERROR(INDEX(Commerciaux!$D$2:$D$3000,MATCH(H177,Commerciaux!$A$2:$A$3000,0)),"")</f>
        <v/>
      </c>
      <c r="J177" s="57" t="inlineStr">
        <is>
          <t>Envoi de fiche technique</t>
        </is>
      </c>
      <c r="K177" s="40" t="inlineStr">
        <is>
          <t>Envoi à Anaïs Lopez de la fiche technique et des certificats des solution de sérialisation DataMatrix.</t>
        </is>
      </c>
      <c r="L177" s="57" t="inlineStr">
        <is>
          <t>Neutre</t>
        </is>
      </c>
      <c r="M177" s="57" t="n"/>
      <c r="N177" s="57" t="n"/>
      <c r="O177" s="58" t="n"/>
      <c r="P177" s="60" t="n"/>
      <c r="Q177" s="57" t="n"/>
    </row>
    <row r="178" ht="35.05" customHeight="1" s="34">
      <c r="A178" s="57" t="inlineStr">
        <is>
          <t>A0177</t>
        </is>
      </c>
      <c r="B178" s="58" t="n">
        <v>46220</v>
      </c>
      <c r="C178" s="57" t="inlineStr">
        <is>
          <t>Visite terrain</t>
        </is>
      </c>
      <c r="D178" s="57" t="inlineStr">
        <is>
          <t>E026</t>
        </is>
      </c>
      <c r="E178" s="57">
        <f>IFERROR(INDEX(Entreprises!$B$2:$B$3000,MATCH(D178,Entreprises!$A$2:$A$3000,0)),"")</f>
        <v/>
      </c>
      <c r="F178" s="57" t="inlineStr">
        <is>
          <t>C043</t>
        </is>
      </c>
      <c r="G178" s="57">
        <f>IFERROR(INDEX(Contacts!$E$2:$E$3000,MATCH(F178,Contacts!$A$2:$A$3000,0)),"")</f>
        <v/>
      </c>
      <c r="H178" s="57" t="inlineStr">
        <is>
          <t>U007</t>
        </is>
      </c>
      <c r="I178" s="57">
        <f>IFERROR(INDEX(Commerciaux!$D$2:$D$3000,MATCH(H178,Commerciaux!$A$2:$A$3000,0)),"")</f>
        <v/>
      </c>
      <c r="J178" s="57" t="inlineStr">
        <is>
          <t>Revue d'activité semestrielle</t>
        </is>
      </c>
      <c r="K178" s="40" t="inlineStr">
        <is>
          <t>Revue d'activité semestrielle avec Samuel Robin. Satisfaction globale sur la qualité ; demande de visibilité sur l'évolution des prix des matières. Échange sur la réduction des emballages secondaires.</t>
        </is>
      </c>
      <c r="L178" s="57" t="inlineStr">
        <is>
          <t>Positif</t>
        </is>
      </c>
      <c r="M178" s="57" t="n"/>
      <c r="N178" s="57" t="inlineStr">
        <is>
          <t>Envoyer la documentation technique</t>
        </is>
      </c>
      <c r="O178" s="58" t="n">
        <v>46238</v>
      </c>
      <c r="P178" s="60" t="n">
        <v>120</v>
      </c>
      <c r="Q178" s="57" t="n"/>
    </row>
    <row r="179" ht="23.85" customHeight="1" s="34">
      <c r="A179" s="57" t="inlineStr">
        <is>
          <t>A0178</t>
        </is>
      </c>
      <c r="B179" s="58" t="n">
        <v>46223</v>
      </c>
      <c r="C179" s="57" t="inlineStr">
        <is>
          <t>E-mail</t>
        </is>
      </c>
      <c r="D179" s="57" t="inlineStr">
        <is>
          <t>E003</t>
        </is>
      </c>
      <c r="E179" s="57">
        <f>IFERROR(INDEX(Entreprises!$B$2:$B$3000,MATCH(D179,Entreprises!$A$2:$A$3000,0)),"")</f>
        <v/>
      </c>
      <c r="F179" s="57" t="inlineStr">
        <is>
          <t>C005</t>
        </is>
      </c>
      <c r="G179" s="57">
        <f>IFERROR(INDEX(Contacts!$E$2:$E$3000,MATCH(F179,Contacts!$A$2:$A$3000,0)),"")</f>
        <v/>
      </c>
      <c r="H179" s="57" t="inlineStr">
        <is>
          <t>U002</t>
        </is>
      </c>
      <c r="I179" s="57">
        <f>IFERROR(INDEX(Commerciaux!$D$2:$D$3000,MATCH(H179,Commerciaux!$A$2:$A$3000,0)),"")</f>
        <v/>
      </c>
      <c r="J179" s="57" t="inlineStr">
        <is>
          <t>Attribution étiquettes d'inviolabilité</t>
        </is>
      </c>
      <c r="K179" s="40" t="inlineStr">
        <is>
          <t>Guerbet informe que le marché des étiquettes d'inviolabilité est attribué à un autre fournisseur, en lien avec l'incident qualité de juin.</t>
        </is>
      </c>
      <c r="L179" s="57" t="inlineStr">
        <is>
          <t>Négatif</t>
        </is>
      </c>
      <c r="M179" s="57" t="inlineStr">
        <is>
          <t>T007</t>
        </is>
      </c>
      <c r="N179" s="57" t="n"/>
      <c r="O179" s="58" t="n"/>
      <c r="P179" s="60" t="n"/>
      <c r="Q179" s="57" t="n"/>
    </row>
    <row r="180" ht="23.85" customHeight="1" s="34">
      <c r="A180" s="57" t="inlineStr">
        <is>
          <t>A0179</t>
        </is>
      </c>
      <c r="B180" s="58" t="n">
        <v>46223</v>
      </c>
      <c r="C180" s="57" t="inlineStr">
        <is>
          <t>Appel</t>
        </is>
      </c>
      <c r="D180" s="57" t="inlineStr">
        <is>
          <t>E020</t>
        </is>
      </c>
      <c r="E180" s="57">
        <f>IFERROR(INDEX(Entreprises!$B$2:$B$3000,MATCH(D180,Entreprises!$A$2:$A$3000,0)),"")</f>
        <v/>
      </c>
      <c r="F180" s="57" t="inlineStr">
        <is>
          <t>C032</t>
        </is>
      </c>
      <c r="G180" s="57">
        <f>IFERROR(INDEX(Contacts!$E$2:$E$3000,MATCH(F180,Contacts!$A$2:$A$3000,0)),"")</f>
        <v/>
      </c>
      <c r="H180" s="57" t="inlineStr">
        <is>
          <t>U005</t>
        </is>
      </c>
      <c r="I180" s="57">
        <f>IFERROR(INDEX(Commerciaux!$D$2:$D$3000,MATCH(H180,Commerciaux!$A$2:$A$3000,0)),"")</f>
        <v/>
      </c>
      <c r="J180" s="57" t="inlineStr">
        <is>
          <t>Relance proposition</t>
        </is>
      </c>
      <c r="K180" s="40" t="inlineStr">
        <is>
          <t>Appel de relance sur la dernière proposition. Cédric Vidal demande quelques jours pour consolider les retours internes.</t>
        </is>
      </c>
      <c r="L180" s="57" t="inlineStr">
        <is>
          <t>À relancer</t>
        </is>
      </c>
      <c r="M180" s="57" t="inlineStr">
        <is>
          <t>T031</t>
        </is>
      </c>
      <c r="N180" s="57" t="n"/>
      <c r="O180" s="58" t="n"/>
      <c r="P180" s="60" t="n">
        <v>5</v>
      </c>
      <c r="Q180" s="57" t="n"/>
    </row>
    <row r="181" ht="35.05" customHeight="1" s="34">
      <c r="A181" s="57" t="inlineStr">
        <is>
          <t>A0180</t>
        </is>
      </c>
      <c r="B181" s="58" t="n">
        <v>46225</v>
      </c>
      <c r="C181" s="57" t="inlineStr">
        <is>
          <t>Visite terrain</t>
        </is>
      </c>
      <c r="D181" s="57" t="inlineStr">
        <is>
          <t>E014</t>
        </is>
      </c>
      <c r="E181" s="57">
        <f>IFERROR(INDEX(Entreprises!$B$2:$B$3000,MATCH(D181,Entreprises!$A$2:$A$3000,0)),"")</f>
        <v/>
      </c>
      <c r="F181" s="57" t="inlineStr">
        <is>
          <t>C024</t>
        </is>
      </c>
      <c r="G181" s="57">
        <f>IFERROR(INDEX(Contacts!$E$2:$E$3000,MATCH(F181,Contacts!$A$2:$A$3000,0)),"")</f>
        <v/>
      </c>
      <c r="H181" s="57" t="inlineStr">
        <is>
          <t>U004</t>
        </is>
      </c>
      <c r="I181" s="57">
        <f>IFERROR(INDEX(Commerciaux!$D$2:$D$3000,MATCH(H181,Commerciaux!$A$2:$A$3000,0)),"")</f>
        <v/>
      </c>
      <c r="J181" s="57" t="inlineStr">
        <is>
          <t>Visite de suivi</t>
        </is>
      </c>
      <c r="K181" s="40" t="inlineStr">
        <is>
          <t>Visite de suivi avec Laurent Mercier. Revue des commandes en cours et des prévisions du trimestre sur les caisses carton ondulé personnalisées. Pas de difficulté particulière signalée. Laurent Mercier évoque la suppression du polystyrène dans les calages.</t>
        </is>
      </c>
      <c r="L181" s="57" t="inlineStr">
        <is>
          <t>Positif</t>
        </is>
      </c>
      <c r="M181" s="57" t="n"/>
      <c r="N181" s="57" t="n"/>
      <c r="O181" s="58" t="n"/>
      <c r="P181" s="60" t="n">
        <v>75</v>
      </c>
      <c r="Q181" s="57" t="n"/>
    </row>
    <row r="182" ht="23.85" customHeight="1" s="34">
      <c r="A182" s="57" t="inlineStr">
        <is>
          <t>A0181</t>
        </is>
      </c>
      <c r="B182" s="58" t="n">
        <v>46226</v>
      </c>
      <c r="C182" s="57" t="inlineStr">
        <is>
          <t>Réunion visio</t>
        </is>
      </c>
      <c r="D182" s="57" t="inlineStr">
        <is>
          <t>E005</t>
        </is>
      </c>
      <c r="E182" s="57">
        <f>IFERROR(INDEX(Entreprises!$B$2:$B$3000,MATCH(D182,Entreprises!$A$2:$A$3000,0)),"")</f>
        <v/>
      </c>
      <c r="F182" s="57" t="inlineStr">
        <is>
          <t>C009</t>
        </is>
      </c>
      <c r="G182" s="57">
        <f>IFERROR(INDEX(Contacts!$E$2:$E$3000,MATCH(F182,Contacts!$A$2:$A$3000,0)),"")</f>
        <v/>
      </c>
      <c r="H182" s="57" t="inlineStr">
        <is>
          <t>U002</t>
        </is>
      </c>
      <c r="I182" s="57">
        <f>IFERROR(INDEX(Commerciaux!$D$2:$D$3000,MATCH(H182,Commerciaux!$A$2:$A$3000,0)),"")</f>
        <v/>
      </c>
      <c r="J182" s="57" t="inlineStr">
        <is>
          <t>Cadrage du besoin</t>
        </is>
      </c>
      <c r="K182" s="40" t="inlineStr">
        <is>
          <t>Réunion Teams avec Léa Moreau pour cadrer le besoin concernant le référencement en second fournisseur d'étuis. Liste des prérequis techniques partagée.</t>
        </is>
      </c>
      <c r="L182" s="57" t="inlineStr">
        <is>
          <t>Positif</t>
        </is>
      </c>
      <c r="M182" s="57" t="n"/>
      <c r="N182" s="57" t="n"/>
      <c r="O182" s="58" t="n"/>
      <c r="P182" s="60" t="n">
        <v>45</v>
      </c>
      <c r="Q182" s="57" t="n"/>
    </row>
    <row r="183" ht="23.85" customHeight="1" s="34">
      <c r="A183" s="57" t="inlineStr">
        <is>
          <t>A0182</t>
        </is>
      </c>
      <c r="B183" s="58" t="n">
        <v>46226</v>
      </c>
      <c r="C183" s="57" t="inlineStr">
        <is>
          <t>Visite terrain</t>
        </is>
      </c>
      <c r="D183" s="57" t="inlineStr">
        <is>
          <t>E011</t>
        </is>
      </c>
      <c r="E183" s="57">
        <f>IFERROR(INDEX(Entreprises!$B$2:$B$3000,MATCH(D183,Entreprises!$A$2:$A$3000,0)),"")</f>
        <v/>
      </c>
      <c r="F183" s="57" t="inlineStr">
        <is>
          <t>C017</t>
        </is>
      </c>
      <c r="G183" s="57">
        <f>IFERROR(INDEX(Contacts!$E$2:$E$3000,MATCH(F183,Contacts!$A$2:$A$3000,0)),"")</f>
        <v/>
      </c>
      <c r="H183" s="57" t="inlineStr">
        <is>
          <t>U003</t>
        </is>
      </c>
      <c r="I183" s="57">
        <f>IFERROR(INDEX(Commerciaux!$D$2:$D$3000,MATCH(H183,Commerciaux!$A$2:$A$3000,0)),"")</f>
        <v/>
      </c>
      <c r="J183" s="57" t="inlineStr">
        <is>
          <t>Revue d'activité semestrielle</t>
        </is>
      </c>
      <c r="K183" s="40" t="inlineStr">
        <is>
          <t>Revue d'activité semestrielle avec Stéphane Klein. Satisfaction globale sur la qualité ; demande de visibilité sur l'évolution des prix des matières. Échange sur la reconquête du volume caisses carton.</t>
        </is>
      </c>
      <c r="L183" s="57" t="inlineStr">
        <is>
          <t>Positif</t>
        </is>
      </c>
      <c r="M183" s="57" t="n"/>
      <c r="N183" s="57" t="n"/>
      <c r="O183" s="58" t="n"/>
      <c r="P183" s="60" t="n">
        <v>120</v>
      </c>
      <c r="Q183" s="57" t="n"/>
    </row>
    <row r="184" ht="23.85" customHeight="1" s="34">
      <c r="A184" s="57" t="inlineStr">
        <is>
          <t>A0183</t>
        </is>
      </c>
      <c r="B184" s="58" t="n">
        <v>46230</v>
      </c>
      <c r="C184" s="57" t="inlineStr">
        <is>
          <t>E-mail</t>
        </is>
      </c>
      <c r="D184" s="57" t="inlineStr">
        <is>
          <t>E030</t>
        </is>
      </c>
      <c r="E184" s="57">
        <f>IFERROR(INDEX(Entreprises!$B$2:$B$3000,MATCH(D184,Entreprises!$A$2:$A$3000,0)),"")</f>
        <v/>
      </c>
      <c r="F184" s="57" t="inlineStr">
        <is>
          <t>C049</t>
        </is>
      </c>
      <c r="G184" s="57">
        <f>IFERROR(INDEX(Contacts!$E$2:$E$3000,MATCH(F184,Contacts!$A$2:$A$3000,0)),"")</f>
        <v/>
      </c>
      <c r="H184" s="57" t="inlineStr">
        <is>
          <t>U007</t>
        </is>
      </c>
      <c r="I184" s="57">
        <f>IFERROR(INDEX(Commerciaux!$D$2:$D$3000,MATCH(H184,Commerciaux!$A$2:$A$3000,0)),"")</f>
        <v/>
      </c>
      <c r="J184" s="57" t="inlineStr">
        <is>
          <t>Envoi de la grille tarifaire</t>
        </is>
      </c>
      <c r="K184" s="40" t="inlineStr">
        <is>
          <t>Envoi à Nadia Haddad de la grille tarifaire actualisée, avec rappel des conditions de paiement (60 jours).</t>
        </is>
      </c>
      <c r="L184" s="57" t="inlineStr">
        <is>
          <t>Neutre</t>
        </is>
      </c>
      <c r="M184" s="57" t="n"/>
      <c r="N184" s="57" t="n"/>
      <c r="O184" s="58" t="n"/>
      <c r="P184" s="60" t="n"/>
      <c r="Q184" s="57" t="n"/>
    </row>
    <row r="185" ht="35.05" customHeight="1" s="34">
      <c r="A185" s="57" t="inlineStr">
        <is>
          <t>A0184</t>
        </is>
      </c>
      <c r="B185" s="58" t="n">
        <v>46237</v>
      </c>
      <c r="C185" s="57" t="inlineStr">
        <is>
          <t>Visite terrain</t>
        </is>
      </c>
      <c r="D185" s="57" t="inlineStr">
        <is>
          <t>E026</t>
        </is>
      </c>
      <c r="E185" s="57">
        <f>IFERROR(INDEX(Entreprises!$B$2:$B$3000,MATCH(D185,Entreprises!$A$2:$A$3000,0)),"")</f>
        <v/>
      </c>
      <c r="F185" s="57" t="inlineStr">
        <is>
          <t>C042</t>
        </is>
      </c>
      <c r="G185" s="57">
        <f>IFERROR(INDEX(Contacts!$E$2:$E$3000,MATCH(F185,Contacts!$A$2:$A$3000,0)),"")</f>
        <v/>
      </c>
      <c r="H185" s="57" t="inlineStr">
        <is>
          <t>U007</t>
        </is>
      </c>
      <c r="I185" s="57">
        <f>IFERROR(INDEX(Commerciaux!$D$2:$D$3000,MATCH(H185,Commerciaux!$A$2:$A$3000,0)),"")</f>
        <v/>
      </c>
      <c r="J185" s="57" t="inlineStr">
        <is>
          <t>Compte rendu de visite</t>
        </is>
      </c>
      <c r="K185" s="40" t="inlineStr">
        <is>
          <t>Atelier avec Véronique Bertin et Samuel Robin sur la réduction des emballages secondaires. Danone teste des caisses en carton recyclé sur une ligne. Samuel Robin souhaite des prévisions de capacité pour 2027.</t>
        </is>
      </c>
      <c r="L185" s="57" t="inlineStr">
        <is>
          <t>Positif</t>
        </is>
      </c>
      <c r="M185" s="57" t="inlineStr">
        <is>
          <t>T041</t>
        </is>
      </c>
      <c r="N185" s="57" t="inlineStr">
        <is>
          <t>Organiser un atelier technique en octobre</t>
        </is>
      </c>
      <c r="O185" s="58" t="n">
        <v>46316</v>
      </c>
      <c r="P185" s="60" t="n">
        <v>90</v>
      </c>
      <c r="Q185" s="57" t="inlineStr">
        <is>
          <t>Samuel Robin</t>
        </is>
      </c>
    </row>
    <row r="186" ht="23.85" customHeight="1" s="34">
      <c r="A186" s="57" t="inlineStr">
        <is>
          <t>A0185</t>
        </is>
      </c>
      <c r="B186" s="58" t="n">
        <v>46240</v>
      </c>
      <c r="C186" s="57" t="inlineStr">
        <is>
          <t>Note</t>
        </is>
      </c>
      <c r="D186" s="57" t="inlineStr">
        <is>
          <t>E019</t>
        </is>
      </c>
      <c r="E186" s="57">
        <f>IFERROR(INDEX(Entreprises!$B$2:$B$3000,MATCH(D186,Entreprises!$A$2:$A$3000,0)),"")</f>
        <v/>
      </c>
      <c r="F186" s="57" t="inlineStr">
        <is>
          <t>C030</t>
        </is>
      </c>
      <c r="G186" s="57">
        <f>IFERROR(INDEX(Contacts!$E$2:$E$3000,MATCH(F186,Contacts!$A$2:$A$3000,0)),"")</f>
        <v/>
      </c>
      <c r="H186" s="57" t="inlineStr">
        <is>
          <t>U005</t>
        </is>
      </c>
      <c r="I186" s="57">
        <f>IFERROR(INDEX(Commerciaux!$D$2:$D$3000,MATCH(H186,Commerciaux!$A$2:$A$3000,0)),"")</f>
        <v/>
      </c>
      <c r="J186" s="57" t="inlineStr">
        <is>
          <t>Préparation négociation</t>
        </is>
      </c>
      <c r="K186" s="40" t="inlineStr">
        <is>
          <t>Note interne : préparer un comparatif de prix face à Kartéa Pharma Pack avant la prochaine négociation.</t>
        </is>
      </c>
      <c r="L186" s="57" t="inlineStr">
        <is>
          <t>Neutre</t>
        </is>
      </c>
      <c r="M186" s="57" t="n"/>
      <c r="N186" s="57" t="n"/>
      <c r="O186" s="58" t="n"/>
      <c r="P186" s="60" t="n"/>
      <c r="Q186" s="57" t="n"/>
    </row>
    <row r="187" ht="23.85" customHeight="1" s="34">
      <c r="A187" s="57" t="inlineStr">
        <is>
          <t>A0186</t>
        </is>
      </c>
      <c r="B187" s="58" t="n">
        <v>46240</v>
      </c>
      <c r="C187" s="57" t="inlineStr">
        <is>
          <t>E-mail</t>
        </is>
      </c>
      <c r="D187" s="57" t="inlineStr">
        <is>
          <t>E026</t>
        </is>
      </c>
      <c r="E187" s="57">
        <f>IFERROR(INDEX(Entreprises!$B$2:$B$3000,MATCH(D187,Entreprises!$A$2:$A$3000,0)),"")</f>
        <v/>
      </c>
      <c r="F187" s="57" t="inlineStr">
        <is>
          <t>C042</t>
        </is>
      </c>
      <c r="G187" s="57">
        <f>IFERROR(INDEX(Contacts!$E$2:$E$3000,MATCH(F187,Contacts!$A$2:$A$3000,0)),"")</f>
        <v/>
      </c>
      <c r="H187" s="57" t="inlineStr">
        <is>
          <t>U007</t>
        </is>
      </c>
      <c r="I187" s="57">
        <f>IFERROR(INDEX(Commerciaux!$D$2:$D$3000,MATCH(H187,Commerciaux!$A$2:$A$3000,0)),"")</f>
        <v/>
      </c>
      <c r="J187" s="57" t="inlineStr">
        <is>
          <t>Envoi du compte rendu de visite</t>
        </is>
      </c>
      <c r="K187" s="40" t="inlineStr">
        <is>
          <t>Envoi à Véronique Bertin du compte rendu de la visite du 03/08/2026 et des prochaines étapes convenues.</t>
        </is>
      </c>
      <c r="L187" s="57" t="inlineStr">
        <is>
          <t>Neutre</t>
        </is>
      </c>
      <c r="M187" s="57" t="inlineStr">
        <is>
          <t>T041</t>
        </is>
      </c>
      <c r="N187" s="57" t="n"/>
      <c r="O187" s="58" t="n"/>
      <c r="P187" s="60" t="n"/>
      <c r="Q187" s="57" t="n"/>
    </row>
    <row r="188" ht="23.85" customHeight="1" s="34">
      <c r="A188" s="57" t="inlineStr">
        <is>
          <t>A0187</t>
        </is>
      </c>
      <c r="B188" s="58" t="n">
        <v>46241</v>
      </c>
      <c r="C188" s="57" t="inlineStr">
        <is>
          <t>Appel</t>
        </is>
      </c>
      <c r="D188" s="57" t="inlineStr">
        <is>
          <t>E004</t>
        </is>
      </c>
      <c r="E188" s="57">
        <f>IFERROR(INDEX(Entreprises!$B$2:$B$3000,MATCH(D188,Entreprises!$A$2:$A$3000,0)),"")</f>
        <v/>
      </c>
      <c r="F188" s="57" t="inlineStr">
        <is>
          <t>C008</t>
        </is>
      </c>
      <c r="G188" s="57">
        <f>IFERROR(INDEX(Contacts!$E$2:$E$3000,MATCH(F188,Contacts!$A$2:$A$3000,0)),"")</f>
        <v/>
      </c>
      <c r="H188" s="57" t="inlineStr">
        <is>
          <t>U002</t>
        </is>
      </c>
      <c r="I188" s="57">
        <f>IFERROR(INDEX(Commerciaux!$D$2:$D$3000,MATCH(H188,Commerciaux!$A$2:$A$3000,0)),"")</f>
        <v/>
      </c>
      <c r="J188" s="57" t="inlineStr">
        <is>
          <t>Ajustement de commande</t>
        </is>
      </c>
      <c r="K188" s="40" t="inlineStr">
        <is>
          <t>Appel de Hugo Perrin pour ajuster les quantités de la prochaine commande d'emballages éco-conçus mono-matériau. Modification prise en compte.</t>
        </is>
      </c>
      <c r="L188" s="57" t="inlineStr">
        <is>
          <t>Positif</t>
        </is>
      </c>
      <c r="M188" s="57" t="n"/>
      <c r="N188" s="57" t="n"/>
      <c r="O188" s="58" t="n"/>
      <c r="P188" s="60" t="n">
        <v>30</v>
      </c>
      <c r="Q188" s="57" t="n"/>
    </row>
    <row r="189" ht="23.85" customHeight="1" s="34">
      <c r="A189" s="57" t="inlineStr">
        <is>
          <t>A0188</t>
        </is>
      </c>
      <c r="B189" s="58" t="n">
        <v>46253</v>
      </c>
      <c r="C189" s="57" t="inlineStr">
        <is>
          <t>Appel</t>
        </is>
      </c>
      <c r="D189" s="57" t="inlineStr">
        <is>
          <t>E009</t>
        </is>
      </c>
      <c r="E189" s="57">
        <f>IFERROR(INDEX(Entreprises!$B$2:$B$3000,MATCH(D189,Entreprises!$A$2:$A$3000,0)),"")</f>
        <v/>
      </c>
      <c r="F189" s="57" t="inlineStr">
        <is>
          <t>C014</t>
        </is>
      </c>
      <c r="G189" s="57">
        <f>IFERROR(INDEX(Contacts!$E$2:$E$3000,MATCH(F189,Contacts!$A$2:$A$3000,0)),"")</f>
        <v/>
      </c>
      <c r="H189" s="57" t="inlineStr">
        <is>
          <t>U003</t>
        </is>
      </c>
      <c r="I189" s="57">
        <f>IFERROR(INDEX(Commerciaux!$D$2:$D$3000,MATCH(H189,Commerciaux!$A$2:$A$3000,0)),"")</f>
        <v/>
      </c>
      <c r="J189" s="57" t="inlineStr">
        <is>
          <t>Relance proposition</t>
        </is>
      </c>
      <c r="K189" s="40" t="inlineStr">
        <is>
          <t>Appel de relance sur la dernière proposition. Jean-Marc Lambert demande quelques jours pour consolider les retours internes.</t>
        </is>
      </c>
      <c r="L189" s="57" t="inlineStr">
        <is>
          <t>Positif</t>
        </is>
      </c>
      <c r="M189" s="57" t="n"/>
      <c r="N189" s="57" t="n"/>
      <c r="O189" s="58" t="n"/>
      <c r="P189" s="60" t="n">
        <v>15</v>
      </c>
      <c r="Q189" s="57" t="n"/>
    </row>
    <row r="190" ht="23.85" customHeight="1" s="34">
      <c r="A190" s="57" t="inlineStr">
        <is>
          <t>A0189</t>
        </is>
      </c>
      <c r="B190" s="58" t="n">
        <v>46254</v>
      </c>
      <c r="C190" s="57" t="inlineStr">
        <is>
          <t>Visite terrain</t>
        </is>
      </c>
      <c r="D190" s="57" t="inlineStr">
        <is>
          <t>E018</t>
        </is>
      </c>
      <c r="E190" s="57">
        <f>IFERROR(INDEX(Entreprises!$B$2:$B$3000,MATCH(D190,Entreprises!$A$2:$A$3000,0)),"")</f>
        <v/>
      </c>
      <c r="F190" s="57" t="inlineStr">
        <is>
          <t>C029</t>
        </is>
      </c>
      <c r="G190" s="57">
        <f>IFERROR(INDEX(Contacts!$E$2:$E$3000,MATCH(F190,Contacts!$A$2:$A$3000,0)),"")</f>
        <v/>
      </c>
      <c r="H190" s="57" t="inlineStr">
        <is>
          <t>U005</t>
        </is>
      </c>
      <c r="I190" s="57">
        <f>IFERROR(INDEX(Commerciaux!$D$2:$D$3000,MATCH(H190,Commerciaux!$A$2:$A$3000,0)),"")</f>
        <v/>
      </c>
      <c r="J190" s="57" t="inlineStr">
        <is>
          <t>Compte rendu de visite</t>
        </is>
      </c>
      <c r="K190" s="40" t="inlineStr">
        <is>
          <t>Visite au domaine avec Guillaume Petit. Projet d'édition limitée de 3 000 étuis pour la fin d'année, papier texturé et dorure. Minimum de commande négocié à 3 000 unités.</t>
        </is>
      </c>
      <c r="L190" s="57" t="inlineStr">
        <is>
          <t>Positif</t>
        </is>
      </c>
      <c r="M190" s="57" t="inlineStr">
        <is>
          <t>T029</t>
        </is>
      </c>
      <c r="N190" s="57" t="inlineStr">
        <is>
          <t>Envoyer le devis et le BAT sous deux semaines</t>
        </is>
      </c>
      <c r="O190" s="58" t="n">
        <v>46269</v>
      </c>
      <c r="P190" s="60" t="n">
        <v>90</v>
      </c>
      <c r="Q190" s="57" t="n"/>
    </row>
    <row r="191" ht="23.85" customHeight="1" s="34">
      <c r="A191" s="57" t="inlineStr">
        <is>
          <t>A0190</t>
        </is>
      </c>
      <c r="B191" s="58" t="n">
        <v>46258</v>
      </c>
      <c r="C191" s="57" t="inlineStr">
        <is>
          <t>Réunion visio</t>
        </is>
      </c>
      <c r="D191" s="57" t="inlineStr">
        <is>
          <t>E016</t>
        </is>
      </c>
      <c r="E191" s="57">
        <f>IFERROR(INDEX(Entreprises!$B$2:$B$3000,MATCH(D191,Entreprises!$A$2:$A$3000,0)),"")</f>
        <v/>
      </c>
      <c r="F191" s="57" t="inlineStr">
        <is>
          <t>C026</t>
        </is>
      </c>
      <c r="G191" s="57">
        <f>IFERROR(INDEX(Contacts!$E$2:$E$3000,MATCH(F191,Contacts!$A$2:$A$3000,0)),"")</f>
        <v/>
      </c>
      <c r="H191" s="57" t="inlineStr">
        <is>
          <t>U004</t>
        </is>
      </c>
      <c r="I191" s="57">
        <f>IFERROR(INDEX(Commerciaux!$D$2:$D$3000,MATCH(H191,Commerciaux!$A$2:$A$3000,0)),"")</f>
        <v/>
      </c>
      <c r="J191" s="57" t="inlineStr">
        <is>
          <t>Cadrage du besoin</t>
        </is>
      </c>
      <c r="K191" s="40" t="inlineStr">
        <is>
          <t>Réunion Teams avec Anaïs Lopez pour cadrer le besoin concernant la sérialisation de la nouvelle ligne de conditionnement. Liste des prérequis techniques partagée.</t>
        </is>
      </c>
      <c r="L191" s="57" t="inlineStr">
        <is>
          <t>Positif</t>
        </is>
      </c>
      <c r="M191" s="57" t="inlineStr">
        <is>
          <t>T026</t>
        </is>
      </c>
      <c r="N191" s="57" t="inlineStr">
        <is>
          <t>Planifier une visite de site</t>
        </is>
      </c>
      <c r="O191" s="58" t="n">
        <v>46279</v>
      </c>
      <c r="P191" s="60" t="n">
        <v>45</v>
      </c>
      <c r="Q191" s="57" t="n"/>
    </row>
    <row r="192" ht="23.85" customHeight="1" s="34">
      <c r="A192" s="57" t="inlineStr">
        <is>
          <t>A0191</t>
        </is>
      </c>
      <c r="B192" s="58" t="n">
        <v>46258</v>
      </c>
      <c r="C192" s="57" t="inlineStr">
        <is>
          <t>E-mail</t>
        </is>
      </c>
      <c r="D192" s="57" t="inlineStr">
        <is>
          <t>E018</t>
        </is>
      </c>
      <c r="E192" s="57">
        <f>IFERROR(INDEX(Entreprises!$B$2:$B$3000,MATCH(D192,Entreprises!$A$2:$A$3000,0)),"")</f>
        <v/>
      </c>
      <c r="F192" s="57" t="inlineStr">
        <is>
          <t>C029</t>
        </is>
      </c>
      <c r="G192" s="57">
        <f>IFERROR(INDEX(Contacts!$E$2:$E$3000,MATCH(F192,Contacts!$A$2:$A$3000,0)),"")</f>
        <v/>
      </c>
      <c r="H192" s="57" t="inlineStr">
        <is>
          <t>U005</t>
        </is>
      </c>
      <c r="I192" s="57">
        <f>IFERROR(INDEX(Commerciaux!$D$2:$D$3000,MATCH(H192,Commerciaux!$A$2:$A$3000,0)),"")</f>
        <v/>
      </c>
      <c r="J192" s="57" t="inlineStr">
        <is>
          <t>Envoi du compte rendu de visite</t>
        </is>
      </c>
      <c r="K192" s="40" t="inlineStr">
        <is>
          <t>Envoi à Guillaume Petit du compte rendu de la visite du 20/08/2026 et des prochaines étapes convenues.</t>
        </is>
      </c>
      <c r="L192" s="57" t="inlineStr">
        <is>
          <t>Neutre</t>
        </is>
      </c>
      <c r="M192" s="57" t="inlineStr">
        <is>
          <t>T029</t>
        </is>
      </c>
      <c r="N192" s="57" t="n"/>
      <c r="O192" s="58" t="n"/>
      <c r="P192" s="60" t="n"/>
      <c r="Q192" s="57" t="n"/>
    </row>
    <row r="193" ht="23.85" customHeight="1" s="34">
      <c r="A193" s="57" t="inlineStr">
        <is>
          <t>A0192</t>
        </is>
      </c>
      <c r="B193" s="58" t="n">
        <v>46259</v>
      </c>
      <c r="C193" s="57" t="inlineStr">
        <is>
          <t>Visite terrain</t>
        </is>
      </c>
      <c r="D193" s="57" t="inlineStr">
        <is>
          <t>E023</t>
        </is>
      </c>
      <c r="E193" s="57">
        <f>IFERROR(INDEX(Entreprises!$B$2:$B$3000,MATCH(D193,Entreprises!$A$2:$A$3000,0)),"")</f>
        <v/>
      </c>
      <c r="F193" s="57" t="inlineStr">
        <is>
          <t>C037</t>
        </is>
      </c>
      <c r="G193" s="57">
        <f>IFERROR(INDEX(Contacts!$E$2:$E$3000,MATCH(F193,Contacts!$A$2:$A$3000,0)),"")</f>
        <v/>
      </c>
      <c r="H193" s="57" t="inlineStr">
        <is>
          <t>U006</t>
        </is>
      </c>
      <c r="I193" s="57">
        <f>IFERROR(INDEX(Commerciaux!$D$2:$D$3000,MATCH(H193,Commerciaux!$A$2:$A$3000,0)),"")</f>
        <v/>
      </c>
      <c r="J193" s="57" t="inlineStr">
        <is>
          <t>Compte rendu de visite</t>
        </is>
      </c>
      <c r="K193" s="40" t="inlineStr">
        <is>
          <t>Visite avec Caroline Lefèvre. Le contrat étiquettes d'inviolabilité est en relecture juridique. Ipsen souhaite une clause de révision annuelle des prix.</t>
        </is>
      </c>
      <c r="L193" s="57" t="inlineStr">
        <is>
          <t>Neutre</t>
        </is>
      </c>
      <c r="M193" s="57" t="inlineStr">
        <is>
          <t>T037</t>
        </is>
      </c>
      <c r="N193" s="57" t="inlineStr">
        <is>
          <t>Revoir le contrat avec le service juridique d'Ipsen</t>
        </is>
      </c>
      <c r="O193" s="58" t="n">
        <v>46315</v>
      </c>
      <c r="P193" s="60" t="n">
        <v>105</v>
      </c>
      <c r="Q193" s="57" t="n"/>
    </row>
    <row r="194" ht="46.25" customHeight="1" s="34">
      <c r="A194" s="57" t="inlineStr">
        <is>
          <t>A0193</t>
        </is>
      </c>
      <c r="B194" s="58" t="n">
        <v>46261</v>
      </c>
      <c r="C194" s="57" t="inlineStr">
        <is>
          <t>Visite terrain</t>
        </is>
      </c>
      <c r="D194" s="57" t="inlineStr">
        <is>
          <t>E011</t>
        </is>
      </c>
      <c r="E194" s="57">
        <f>IFERROR(INDEX(Entreprises!$B$2:$B$3000,MATCH(D194,Entreprises!$A$2:$A$3000,0)),"")</f>
        <v/>
      </c>
      <c r="F194" s="57" t="inlineStr">
        <is>
          <t>C017</t>
        </is>
      </c>
      <c r="G194" s="57">
        <f>IFERROR(INDEX(Contacts!$E$2:$E$3000,MATCH(F194,Contacts!$A$2:$A$3000,0)),"")</f>
        <v/>
      </c>
      <c r="H194" s="57" t="inlineStr">
        <is>
          <t>U003</t>
        </is>
      </c>
      <c r="I194" s="57">
        <f>IFERROR(INDEX(Commerciaux!$D$2:$D$3000,MATCH(H194,Commerciaux!$A$2:$A$3000,0)),"")</f>
        <v/>
      </c>
      <c r="J194" s="57" t="inlineStr">
        <is>
          <t>Compte rendu de visite</t>
        </is>
      </c>
      <c r="K194" s="40" t="inlineStr">
        <is>
          <t>Visite à Obernai avec Stéphane Klein et Julie Schmitt. Confirmation qu'une partie des caisses a basculé chez Emballor Industries pour une question de prix (écart d'environ 7 %). Stéphane Klein reste ouvert à revenir si nous améliorons la logistique. Julie Schmitt est satisfaite du contrat de maintenance des étiqueteuses.</t>
        </is>
      </c>
      <c r="L194" s="57" t="inlineStr">
        <is>
          <t>Neutre</t>
        </is>
      </c>
      <c r="M194" s="57" t="inlineStr">
        <is>
          <t>T017</t>
        </is>
      </c>
      <c r="N194" s="57" t="inlineStr">
        <is>
          <t>Préparer une offre révisée avec livraison en flux tendu</t>
        </is>
      </c>
      <c r="O194" s="58" t="n">
        <v>46314</v>
      </c>
      <c r="P194" s="60" t="n">
        <v>120</v>
      </c>
      <c r="Q194" s="57" t="inlineStr">
        <is>
          <t>Julie Schmitt</t>
        </is>
      </c>
    </row>
    <row r="195" ht="23.85" customHeight="1" s="34">
      <c r="A195" s="57" t="inlineStr">
        <is>
          <t>A0194</t>
        </is>
      </c>
      <c r="B195" s="58" t="n">
        <v>46262</v>
      </c>
      <c r="C195" s="57" t="inlineStr">
        <is>
          <t>Appel</t>
        </is>
      </c>
      <c r="D195" s="57" t="inlineStr">
        <is>
          <t>E006</t>
        </is>
      </c>
      <c r="E195" s="57">
        <f>IFERROR(INDEX(Entreprises!$B$2:$B$3000,MATCH(D195,Entreprises!$A$2:$A$3000,0)),"")</f>
        <v/>
      </c>
      <c r="F195" s="57" t="inlineStr">
        <is>
          <t>C010</t>
        </is>
      </c>
      <c r="G195" s="57">
        <f>IFERROR(INDEX(Contacts!$E$2:$E$3000,MATCH(F195,Contacts!$A$2:$A$3000,0)),"")</f>
        <v/>
      </c>
      <c r="H195" s="57" t="inlineStr">
        <is>
          <t>U002</t>
        </is>
      </c>
      <c r="I195" s="57">
        <f>IFERROR(INDEX(Commerciaux!$D$2:$D$3000,MATCH(H195,Commerciaux!$A$2:$A$3000,0)),"")</f>
        <v/>
      </c>
      <c r="J195" s="57" t="inlineStr">
        <is>
          <t>Appel de prospection</t>
        </is>
      </c>
      <c r="K195" s="40" t="inlineStr">
        <is>
          <t>Appel de prospection auprès de Rachid Bensaïd. Besoin d'emballages de transport pour des minéraux en poudre, volumes à préciser. Accepte un premier rendez-vous.</t>
        </is>
      </c>
      <c r="L195" s="57" t="inlineStr">
        <is>
          <t>Positif</t>
        </is>
      </c>
      <c r="M195" s="57" t="n"/>
      <c r="N195" s="57" t="inlineStr">
        <is>
          <t>Envoyer une présentation et proposer des dates</t>
        </is>
      </c>
      <c r="O195" s="58" t="n">
        <v>46267</v>
      </c>
      <c r="P195" s="60" t="n">
        <v>15</v>
      </c>
      <c r="Q195" s="57" t="n"/>
    </row>
    <row r="196" ht="23.85" customHeight="1" s="34">
      <c r="A196" s="57" t="inlineStr">
        <is>
          <t>A0195</t>
        </is>
      </c>
      <c r="B196" s="58" t="n">
        <v>46265</v>
      </c>
      <c r="C196" s="57" t="inlineStr">
        <is>
          <t>E-mail</t>
        </is>
      </c>
      <c r="D196" s="57" t="inlineStr">
        <is>
          <t>E011</t>
        </is>
      </c>
      <c r="E196" s="57">
        <f>IFERROR(INDEX(Entreprises!$B$2:$B$3000,MATCH(D196,Entreprises!$A$2:$A$3000,0)),"")</f>
        <v/>
      </c>
      <c r="F196" s="57" t="inlineStr">
        <is>
          <t>C017</t>
        </is>
      </c>
      <c r="G196" s="57">
        <f>IFERROR(INDEX(Contacts!$E$2:$E$3000,MATCH(F196,Contacts!$A$2:$A$3000,0)),"")</f>
        <v/>
      </c>
      <c r="H196" s="57" t="inlineStr">
        <is>
          <t>U003</t>
        </is>
      </c>
      <c r="I196" s="57">
        <f>IFERROR(INDEX(Commerciaux!$D$2:$D$3000,MATCH(H196,Commerciaux!$A$2:$A$3000,0)),"")</f>
        <v/>
      </c>
      <c r="J196" s="57" t="inlineStr">
        <is>
          <t>Envoi du compte rendu de visite</t>
        </is>
      </c>
      <c r="K196" s="40" t="inlineStr">
        <is>
          <t>Envoi à Stéphane Klein du compte rendu de la visite du 27/08/2026 et des prochaines étapes convenues.</t>
        </is>
      </c>
      <c r="L196" s="57" t="inlineStr">
        <is>
          <t>Neutre</t>
        </is>
      </c>
      <c r="M196" s="57" t="inlineStr">
        <is>
          <t>T017</t>
        </is>
      </c>
      <c r="N196" s="57" t="n"/>
      <c r="O196" s="58" t="n"/>
      <c r="P196" s="60" t="n"/>
      <c r="Q196" s="57" t="n"/>
    </row>
    <row r="197" ht="23.85" customHeight="1" s="34">
      <c r="A197" s="57" t="inlineStr">
        <is>
          <t>A0196</t>
        </is>
      </c>
      <c r="B197" s="58" t="n">
        <v>46265</v>
      </c>
      <c r="C197" s="57" t="inlineStr">
        <is>
          <t>E-mail</t>
        </is>
      </c>
      <c r="D197" s="57" t="inlineStr">
        <is>
          <t>E023</t>
        </is>
      </c>
      <c r="E197" s="57">
        <f>IFERROR(INDEX(Entreprises!$B$2:$B$3000,MATCH(D197,Entreprises!$A$2:$A$3000,0)),"")</f>
        <v/>
      </c>
      <c r="F197" s="57" t="inlineStr">
        <is>
          <t>C037</t>
        </is>
      </c>
      <c r="G197" s="57">
        <f>IFERROR(INDEX(Contacts!$E$2:$E$3000,MATCH(F197,Contacts!$A$2:$A$3000,0)),"")</f>
        <v/>
      </c>
      <c r="H197" s="57" t="inlineStr">
        <is>
          <t>U006</t>
        </is>
      </c>
      <c r="I197" s="57">
        <f>IFERROR(INDEX(Commerciaux!$D$2:$D$3000,MATCH(H197,Commerciaux!$A$2:$A$3000,0)),"")</f>
        <v/>
      </c>
      <c r="J197" s="57" t="inlineStr">
        <is>
          <t>Envoi du compte rendu de visite</t>
        </is>
      </c>
      <c r="K197" s="40" t="inlineStr">
        <is>
          <t>Envoi à Caroline Lefèvre du compte rendu de la visite du 25/08/2026 et des prochaines étapes convenues.</t>
        </is>
      </c>
      <c r="L197" s="57" t="inlineStr">
        <is>
          <t>Neutre</t>
        </is>
      </c>
      <c r="M197" s="57" t="inlineStr">
        <is>
          <t>T037</t>
        </is>
      </c>
      <c r="N197" s="57" t="n"/>
      <c r="O197" s="58" t="n"/>
      <c r="P197" s="60" t="n"/>
      <c r="Q197" s="57" t="n"/>
    </row>
    <row r="198" ht="46.25" customHeight="1" s="34">
      <c r="A198" s="57" t="inlineStr">
        <is>
          <t>A0197</t>
        </is>
      </c>
      <c r="B198" s="58" t="n">
        <v>46266</v>
      </c>
      <c r="C198" s="57" t="inlineStr">
        <is>
          <t>Visite terrain</t>
        </is>
      </c>
      <c r="D198" s="57" t="inlineStr">
        <is>
          <t>E017</t>
        </is>
      </c>
      <c r="E198" s="57">
        <f>IFERROR(INDEX(Entreprises!$B$2:$B$3000,MATCH(D198,Entreprises!$A$2:$A$3000,0)),"")</f>
        <v/>
      </c>
      <c r="F198" s="57" t="inlineStr">
        <is>
          <t>C027</t>
        </is>
      </c>
      <c r="G198" s="57">
        <f>IFERROR(INDEX(Contacts!$E$2:$E$3000,MATCH(F198,Contacts!$A$2:$A$3000,0)),"")</f>
        <v/>
      </c>
      <c r="H198" s="57" t="inlineStr">
        <is>
          <t>U005</t>
        </is>
      </c>
      <c r="I198" s="57">
        <f>IFERROR(INDEX(Commerciaux!$D$2:$D$3000,MATCH(H198,Commerciaux!$A$2:$A$3000,0)),"")</f>
        <v/>
      </c>
      <c r="J198" s="57" t="inlineStr">
        <is>
          <t>Compte rendu de visite</t>
        </is>
      </c>
      <c r="K198" s="40" t="inlineStr">
        <is>
          <t>Visite à Cognac avec Céline Barbier et Romain Arnaud. Bilan de la saison 2026 : volumes livrés conformes, un BAT en retard en mars. Rémy Cointreau réfléchit à un coffret réutilisable pour sa gamme premium, piloté par Romain Arnaud. Céline Barbier demande une réservation de capacité pour l'été 2027.</t>
        </is>
      </c>
      <c r="L198" s="57" t="inlineStr">
        <is>
          <t>Positif</t>
        </is>
      </c>
      <c r="M198" s="57" t="inlineStr">
        <is>
          <t>T027</t>
        </is>
      </c>
      <c r="N198" s="57" t="inlineStr">
        <is>
          <t>Proposer un concept de coffret réutilisable et un calendrier de réservation</t>
        </is>
      </c>
      <c r="O198" s="58" t="n">
        <v>46310</v>
      </c>
      <c r="P198" s="60" t="n">
        <v>105</v>
      </c>
      <c r="Q198" s="57" t="inlineStr">
        <is>
          <t>Romain Arnaud</t>
        </is>
      </c>
    </row>
    <row r="199" ht="15" customHeight="1" s="34">
      <c r="A199" s="57" t="inlineStr">
        <is>
          <t>A0198</t>
        </is>
      </c>
      <c r="B199" s="58" t="n">
        <v>46267</v>
      </c>
      <c r="C199" s="57" t="inlineStr">
        <is>
          <t>E-mail</t>
        </is>
      </c>
      <c r="D199" s="57" t="inlineStr">
        <is>
          <t>E006</t>
        </is>
      </c>
      <c r="E199" s="57">
        <f>IFERROR(INDEX(Entreprises!$B$2:$B$3000,MATCH(D199,Entreprises!$A$2:$A$3000,0)),"")</f>
        <v/>
      </c>
      <c r="F199" s="57" t="inlineStr">
        <is>
          <t>C010</t>
        </is>
      </c>
      <c r="G199" s="57">
        <f>IFERROR(INDEX(Contacts!$E$2:$E$3000,MATCH(F199,Contacts!$A$2:$A$3000,0)),"")</f>
        <v/>
      </c>
      <c r="H199" s="57" t="inlineStr">
        <is>
          <t>U002</t>
        </is>
      </c>
      <c r="I199" s="57">
        <f>IFERROR(INDEX(Commerciaux!$D$2:$D$3000,MATCH(H199,Commerciaux!$A$2:$A$3000,0)),"")</f>
        <v/>
      </c>
      <c r="J199" s="57" t="inlineStr">
        <is>
          <t>Présentation Orvane Solutions</t>
        </is>
      </c>
      <c r="K199" s="40" t="inlineStr">
        <is>
          <t>Envoi de la présentation de l'offre emballages de transport et proposition de dates de rendez-vous.</t>
        </is>
      </c>
      <c r="L199" s="57" t="inlineStr">
        <is>
          <t>Neutre</t>
        </is>
      </c>
      <c r="M199" s="57" t="inlineStr">
        <is>
          <t>T011</t>
        </is>
      </c>
      <c r="N199" s="57" t="n"/>
      <c r="O199" s="58" t="n"/>
      <c r="P199" s="60" t="n"/>
      <c r="Q199" s="57" t="n"/>
    </row>
    <row r="200" ht="23.85" customHeight="1" s="34">
      <c r="A200" s="57" t="inlineStr">
        <is>
          <t>A0199</t>
        </is>
      </c>
      <c r="B200" s="58" t="n">
        <v>46267</v>
      </c>
      <c r="C200" s="57" t="inlineStr">
        <is>
          <t>Appel</t>
        </is>
      </c>
      <c r="D200" s="57" t="inlineStr">
        <is>
          <t>E014</t>
        </is>
      </c>
      <c r="E200" s="57">
        <f>IFERROR(INDEX(Entreprises!$B$2:$B$3000,MATCH(D200,Entreprises!$A$2:$A$3000,0)),"")</f>
        <v/>
      </c>
      <c r="F200" s="57" t="inlineStr">
        <is>
          <t>C024</t>
        </is>
      </c>
      <c r="G200" s="57">
        <f>IFERROR(INDEX(Contacts!$E$2:$E$3000,MATCH(F200,Contacts!$A$2:$A$3000,0)),"")</f>
        <v/>
      </c>
      <c r="H200" s="57" t="inlineStr">
        <is>
          <t>U004</t>
        </is>
      </c>
      <c r="I200" s="57">
        <f>IFERROR(INDEX(Commerciaux!$D$2:$D$3000,MATCH(H200,Commerciaux!$A$2:$A$3000,0)),"")</f>
        <v/>
      </c>
      <c r="J200" s="57" t="inlineStr">
        <is>
          <t>Point d'avancement projet</t>
        </is>
      </c>
      <c r="K200" s="40" t="inlineStr">
        <is>
          <t>Échange téléphonique avec Laurent Mercier sur le calendrier concernant la suppression du polystyrène dans les calages. Décision interne attendue dans les prochaines semaines.</t>
        </is>
      </c>
      <c r="L200" s="57" t="inlineStr">
        <is>
          <t>Positif</t>
        </is>
      </c>
      <c r="M200" s="57" t="n"/>
      <c r="N200" s="57" t="n"/>
      <c r="O200" s="58" t="n"/>
      <c r="P200" s="60" t="n">
        <v>10</v>
      </c>
      <c r="Q200" s="57" t="n"/>
    </row>
    <row r="201" ht="35.05" customHeight="1" s="34">
      <c r="A201" s="57" t="inlineStr">
        <is>
          <t>A0200</t>
        </is>
      </c>
      <c r="B201" s="58" t="n">
        <v>46267</v>
      </c>
      <c r="C201" s="57" t="inlineStr">
        <is>
          <t>Visite terrain</t>
        </is>
      </c>
      <c r="D201" s="57" t="inlineStr">
        <is>
          <t>E028</t>
        </is>
      </c>
      <c r="E201" s="57">
        <f>IFERROR(INDEX(Entreprises!$B$2:$B$3000,MATCH(D201,Entreprises!$A$2:$A$3000,0)),"")</f>
        <v/>
      </c>
      <c r="F201" s="57" t="inlineStr">
        <is>
          <t>C046</t>
        </is>
      </c>
      <c r="G201" s="57">
        <f>IFERROR(INDEX(Contacts!$E$2:$E$3000,MATCH(F201,Contacts!$A$2:$A$3000,0)),"")</f>
        <v/>
      </c>
      <c r="H201" s="57" t="inlineStr">
        <is>
          <t>U007</t>
        </is>
      </c>
      <c r="I201" s="57">
        <f>IFERROR(INDEX(Commerciaux!$D$2:$D$3000,MATCH(H201,Commerciaux!$A$2:$A$3000,0)),"")</f>
        <v/>
      </c>
      <c r="J201" s="57" t="inlineStr">
        <is>
          <t>Compte rendu de visite</t>
        </is>
      </c>
      <c r="K201" s="40" t="inlineStr">
        <is>
          <t>Visite à Viroflay avec Éric Lemoine et Chloé Muller. Lancement d'une gamme export nécessitant des étiquettes multilingues. Contrat envoyé, quelques ajustements demandés sur les délais de paiement.</t>
        </is>
      </c>
      <c r="L201" s="57" t="inlineStr">
        <is>
          <t>Positif</t>
        </is>
      </c>
      <c r="M201" s="57" t="inlineStr">
        <is>
          <t>T044</t>
        </is>
      </c>
      <c r="N201" s="57" t="inlineStr">
        <is>
          <t>Finaliser le contrat fin octobre</t>
        </is>
      </c>
      <c r="O201" s="58" t="n">
        <v>46323</v>
      </c>
      <c r="P201" s="60" t="n">
        <v>90</v>
      </c>
      <c r="Q201" s="57" t="inlineStr">
        <is>
          <t>Chloé Muller</t>
        </is>
      </c>
    </row>
    <row r="202" ht="35.05" customHeight="1" s="34">
      <c r="A202" s="57" t="inlineStr">
        <is>
          <t>A0201</t>
        </is>
      </c>
      <c r="B202" s="58" t="n">
        <v>46268</v>
      </c>
      <c r="C202" s="57" t="inlineStr">
        <is>
          <t>Visite terrain</t>
        </is>
      </c>
      <c r="D202" s="57" t="inlineStr">
        <is>
          <t>E004</t>
        </is>
      </c>
      <c r="E202" s="57">
        <f>IFERROR(INDEX(Entreprises!$B$2:$B$3000,MATCH(D202,Entreprises!$A$2:$A$3000,0)),"")</f>
        <v/>
      </c>
      <c r="F202" s="57" t="inlineStr">
        <is>
          <t>C007</t>
        </is>
      </c>
      <c r="G202" s="57">
        <f>IFERROR(INDEX(Contacts!$E$2:$E$3000,MATCH(F202,Contacts!$A$2:$A$3000,0)),"")</f>
        <v/>
      </c>
      <c r="H202" s="57" t="inlineStr">
        <is>
          <t>U002</t>
        </is>
      </c>
      <c r="I202" s="57">
        <f>IFERROR(INDEX(Commerciaux!$D$2:$D$3000,MATCH(H202,Commerciaux!$A$2:$A$3000,0)),"")</f>
        <v/>
      </c>
      <c r="J202" s="57" t="inlineStr">
        <is>
          <t>Compte rendu de visite</t>
        </is>
      </c>
      <c r="K202" s="40" t="inlineStr">
        <is>
          <t>Point avec Claire Fontaine sur la campagne de fin d'année : livraisons conformes et dans les délais. Les éditions limitées 2027 seront arbitrées en novembre ; Claire Fontaine souhaite voir des maquettes de coffrets sans calage plastique.</t>
        </is>
      </c>
      <c r="L202" s="57" t="inlineStr">
        <is>
          <t>Positif</t>
        </is>
      </c>
      <c r="M202" s="57" t="inlineStr">
        <is>
          <t>T008</t>
        </is>
      </c>
      <c r="N202" s="57" t="inlineStr">
        <is>
          <t>Préparer trois maquettes de coffrets éco-conçus</t>
        </is>
      </c>
      <c r="O202" s="58" t="n">
        <v>46311</v>
      </c>
      <c r="P202" s="60" t="n">
        <v>105</v>
      </c>
      <c r="Q202" s="57" t="n"/>
    </row>
    <row r="203" ht="23.85" customHeight="1" s="34">
      <c r="A203" s="57" t="inlineStr">
        <is>
          <t>A0202</t>
        </is>
      </c>
      <c r="B203" s="58" t="n">
        <v>46269</v>
      </c>
      <c r="C203" s="57" t="inlineStr">
        <is>
          <t>E-mail</t>
        </is>
      </c>
      <c r="D203" s="57" t="inlineStr">
        <is>
          <t>E017</t>
        </is>
      </c>
      <c r="E203" s="57">
        <f>IFERROR(INDEX(Entreprises!$B$2:$B$3000,MATCH(D203,Entreprises!$A$2:$A$3000,0)),"")</f>
        <v/>
      </c>
      <c r="F203" s="57" t="inlineStr">
        <is>
          <t>C027</t>
        </is>
      </c>
      <c r="G203" s="57">
        <f>IFERROR(INDEX(Contacts!$E$2:$E$3000,MATCH(F203,Contacts!$A$2:$A$3000,0)),"")</f>
        <v/>
      </c>
      <c r="H203" s="57" t="inlineStr">
        <is>
          <t>U005</t>
        </is>
      </c>
      <c r="I203" s="57">
        <f>IFERROR(INDEX(Commerciaux!$D$2:$D$3000,MATCH(H203,Commerciaux!$A$2:$A$3000,0)),"")</f>
        <v/>
      </c>
      <c r="J203" s="57" t="inlineStr">
        <is>
          <t>Envoi du compte rendu de visite</t>
        </is>
      </c>
      <c r="K203" s="40" t="inlineStr">
        <is>
          <t>Envoi à Céline Barbier du compte rendu de la visite du 01/09/2026 et des prochaines étapes convenues.</t>
        </is>
      </c>
      <c r="L203" s="57" t="inlineStr">
        <is>
          <t>Neutre</t>
        </is>
      </c>
      <c r="M203" s="57" t="inlineStr">
        <is>
          <t>T027</t>
        </is>
      </c>
      <c r="N203" s="57" t="n"/>
      <c r="O203" s="58" t="n"/>
      <c r="P203" s="60" t="n"/>
      <c r="Q203" s="57" t="n"/>
    </row>
    <row r="204" ht="23.85" customHeight="1" s="34">
      <c r="A204" s="57" t="inlineStr">
        <is>
          <t>A0203</t>
        </is>
      </c>
      <c r="B204" s="58" t="n">
        <v>46272</v>
      </c>
      <c r="C204" s="57" t="inlineStr">
        <is>
          <t>E-mail</t>
        </is>
      </c>
      <c r="D204" s="57" t="inlineStr">
        <is>
          <t>E004</t>
        </is>
      </c>
      <c r="E204" s="57">
        <f>IFERROR(INDEX(Entreprises!$B$2:$B$3000,MATCH(D204,Entreprises!$A$2:$A$3000,0)),"")</f>
        <v/>
      </c>
      <c r="F204" s="57" t="inlineStr">
        <is>
          <t>C007</t>
        </is>
      </c>
      <c r="G204" s="57">
        <f>IFERROR(INDEX(Contacts!$E$2:$E$3000,MATCH(F204,Contacts!$A$2:$A$3000,0)),"")</f>
        <v/>
      </c>
      <c r="H204" s="57" t="inlineStr">
        <is>
          <t>U002</t>
        </is>
      </c>
      <c r="I204" s="57">
        <f>IFERROR(INDEX(Commerciaux!$D$2:$D$3000,MATCH(H204,Commerciaux!$A$2:$A$3000,0)),"")</f>
        <v/>
      </c>
      <c r="J204" s="57" t="inlineStr">
        <is>
          <t>Envoi du compte rendu de visite</t>
        </is>
      </c>
      <c r="K204" s="40" t="inlineStr">
        <is>
          <t>Envoi à Claire Fontaine du compte rendu de la visite du 03/09/2026 et des prochaines étapes convenues.</t>
        </is>
      </c>
      <c r="L204" s="57" t="inlineStr">
        <is>
          <t>Neutre</t>
        </is>
      </c>
      <c r="M204" s="57" t="inlineStr">
        <is>
          <t>T008</t>
        </is>
      </c>
      <c r="N204" s="57" t="n"/>
      <c r="O204" s="58" t="n"/>
      <c r="P204" s="60" t="n"/>
      <c r="Q204" s="57" t="n"/>
    </row>
    <row r="205" ht="23.85" customHeight="1" s="34">
      <c r="A205" s="57" t="inlineStr">
        <is>
          <t>A0204</t>
        </is>
      </c>
      <c r="B205" s="58" t="n">
        <v>46272</v>
      </c>
      <c r="C205" s="57" t="inlineStr">
        <is>
          <t>Appel</t>
        </is>
      </c>
      <c r="D205" s="57" t="inlineStr">
        <is>
          <t>E009</t>
        </is>
      </c>
      <c r="E205" s="57">
        <f>IFERROR(INDEX(Entreprises!$B$2:$B$3000,MATCH(D205,Entreprises!$A$2:$A$3000,0)),"")</f>
        <v/>
      </c>
      <c r="F205" s="57" t="inlineStr">
        <is>
          <t>C014</t>
        </is>
      </c>
      <c r="G205" s="57">
        <f>IFERROR(INDEX(Contacts!$E$2:$E$3000,MATCH(F205,Contacts!$A$2:$A$3000,0)),"")</f>
        <v/>
      </c>
      <c r="H205" s="57" t="inlineStr">
        <is>
          <t>U003</t>
        </is>
      </c>
      <c r="I205" s="57">
        <f>IFERROR(INDEX(Commerciaux!$D$2:$D$3000,MATCH(H205,Commerciaux!$A$2:$A$3000,0)),"")</f>
        <v/>
      </c>
      <c r="J205" s="57" t="inlineStr">
        <is>
          <t>Suivi de livraison</t>
        </is>
      </c>
      <c r="K205" s="40" t="inlineStr">
        <is>
          <t>Appel de suivi après la dernière livraison. Jean-Marc Lambert confirme la conformité des lots reçus.</t>
        </is>
      </c>
      <c r="L205" s="57" t="inlineStr">
        <is>
          <t>Neutre</t>
        </is>
      </c>
      <c r="M205" s="57" t="n"/>
      <c r="N205" s="57" t="inlineStr">
        <is>
          <t>Envoyer le devis</t>
        </is>
      </c>
      <c r="O205" s="58" t="n">
        <v>46286</v>
      </c>
      <c r="P205" s="60" t="n">
        <v>10</v>
      </c>
      <c r="Q205" s="57" t="n"/>
    </row>
    <row r="206" ht="23.85" customHeight="1" s="34">
      <c r="A206" s="57" t="inlineStr">
        <is>
          <t>A0205</t>
        </is>
      </c>
      <c r="B206" s="58" t="n">
        <v>46272</v>
      </c>
      <c r="C206" s="57" t="inlineStr">
        <is>
          <t>Note</t>
        </is>
      </c>
      <c r="D206" s="57" t="inlineStr">
        <is>
          <t>E015</t>
        </is>
      </c>
      <c r="E206" s="57">
        <f>IFERROR(INDEX(Entreprises!$B$2:$B$3000,MATCH(D206,Entreprises!$A$2:$A$3000,0)),"")</f>
        <v/>
      </c>
      <c r="F206" s="57" t="inlineStr">
        <is>
          <t>C025</t>
        </is>
      </c>
      <c r="G206" s="57">
        <f>IFERROR(INDEX(Contacts!$E$2:$E$3000,MATCH(F206,Contacts!$A$2:$A$3000,0)),"")</f>
        <v/>
      </c>
      <c r="H206" s="57" t="inlineStr">
        <is>
          <t>U004</t>
        </is>
      </c>
      <c r="I206" s="57">
        <f>IFERROR(INDEX(Commerciaux!$D$2:$D$3000,MATCH(H206,Commerciaux!$A$2:$A$3000,0)),"")</f>
        <v/>
      </c>
      <c r="J206" s="57" t="inlineStr">
        <is>
          <t>Inscription au webinaire</t>
        </is>
      </c>
      <c r="K206" s="40" t="inlineStr">
        <is>
          <t>Fabien Rey a participé au webinaire sur l'étiquetage logistique et a posé une question sur la résistance des étiquettes à l'humidité.</t>
        </is>
      </c>
      <c r="L206" s="57" t="inlineStr">
        <is>
          <t>Neutre</t>
        </is>
      </c>
      <c r="M206" s="57" t="n"/>
      <c r="N206" s="57" t="inlineStr">
        <is>
          <t>Appeler pour qualifier</t>
        </is>
      </c>
      <c r="O206" s="58" t="n">
        <v>46275</v>
      </c>
      <c r="P206" s="60" t="n"/>
      <c r="Q206" s="57" t="n"/>
    </row>
    <row r="207" ht="23.85" customHeight="1" s="34">
      <c r="A207" s="57" t="inlineStr">
        <is>
          <t>A0206</t>
        </is>
      </c>
      <c r="B207" s="58" t="n">
        <v>46272</v>
      </c>
      <c r="C207" s="57" t="inlineStr">
        <is>
          <t>E-mail</t>
        </is>
      </c>
      <c r="D207" s="57" t="inlineStr">
        <is>
          <t>E028</t>
        </is>
      </c>
      <c r="E207" s="57">
        <f>IFERROR(INDEX(Entreprises!$B$2:$B$3000,MATCH(D207,Entreprises!$A$2:$A$3000,0)),"")</f>
        <v/>
      </c>
      <c r="F207" s="57" t="inlineStr">
        <is>
          <t>C046</t>
        </is>
      </c>
      <c r="G207" s="57">
        <f>IFERROR(INDEX(Contacts!$E$2:$E$3000,MATCH(F207,Contacts!$A$2:$A$3000,0)),"")</f>
        <v/>
      </c>
      <c r="H207" s="57" t="inlineStr">
        <is>
          <t>U007</t>
        </is>
      </c>
      <c r="I207" s="57">
        <f>IFERROR(INDEX(Commerciaux!$D$2:$D$3000,MATCH(H207,Commerciaux!$A$2:$A$3000,0)),"")</f>
        <v/>
      </c>
      <c r="J207" s="57" t="inlineStr">
        <is>
          <t>Envoi du compte rendu de visite</t>
        </is>
      </c>
      <c r="K207" s="40" t="inlineStr">
        <is>
          <t>Envoi à Éric Lemoine du compte rendu de la visite du 02/09/2026 et des prochaines étapes convenues.</t>
        </is>
      </c>
      <c r="L207" s="57" t="inlineStr">
        <is>
          <t>Neutre</t>
        </is>
      </c>
      <c r="M207" s="57" t="inlineStr">
        <is>
          <t>T044</t>
        </is>
      </c>
      <c r="N207" s="57" t="n"/>
      <c r="O207" s="58" t="n"/>
      <c r="P207" s="60" t="n"/>
      <c r="Q207" s="57" t="n"/>
    </row>
    <row r="208" ht="23.85" customHeight="1" s="34">
      <c r="A208" s="57" t="inlineStr">
        <is>
          <t>A0207</t>
        </is>
      </c>
      <c r="B208" s="58" t="n">
        <v>46273</v>
      </c>
      <c r="C208" s="57" t="inlineStr">
        <is>
          <t>Visite terrain</t>
        </is>
      </c>
      <c r="D208" s="57" t="inlineStr">
        <is>
          <t>E016</t>
        </is>
      </c>
      <c r="E208" s="57">
        <f>IFERROR(INDEX(Entreprises!$B$2:$B$3000,MATCH(D208,Entreprises!$A$2:$A$3000,0)),"")</f>
        <v/>
      </c>
      <c r="F208" s="57" t="inlineStr">
        <is>
          <t>C026</t>
        </is>
      </c>
      <c r="G208" s="57">
        <f>IFERROR(INDEX(Contacts!$E$2:$E$3000,MATCH(F208,Contacts!$A$2:$A$3000,0)),"")</f>
        <v/>
      </c>
      <c r="H208" s="57" t="inlineStr">
        <is>
          <t>U004</t>
        </is>
      </c>
      <c r="I208" s="57">
        <f>IFERROR(INDEX(Commerciaux!$D$2:$D$3000,MATCH(H208,Commerciaux!$A$2:$A$3000,0)),"")</f>
        <v/>
      </c>
      <c r="J208" s="57" t="inlineStr">
        <is>
          <t>Compte rendu de visite</t>
        </is>
      </c>
      <c r="K208" s="40" t="inlineStr">
        <is>
          <t>Visite à Carros avec Anaïs Lopez. Nouvelle ligne de conditionnement prévue mi-2027, sérialisation obligatoire, budget validé. Inquiétude sur notre capacité de service après-vente dans le Sud-Est.</t>
        </is>
      </c>
      <c r="L208" s="57" t="inlineStr">
        <is>
          <t>Neutre</t>
        </is>
      </c>
      <c r="M208" s="57" t="inlineStr">
        <is>
          <t>T026</t>
        </is>
      </c>
      <c r="N208" s="57" t="inlineStr">
        <is>
          <t>Présenter l'organisation SAV et une référence client</t>
        </is>
      </c>
      <c r="O208" s="58" t="n">
        <v>46316</v>
      </c>
      <c r="P208" s="60" t="n">
        <v>90</v>
      </c>
      <c r="Q208" s="57" t="n"/>
    </row>
    <row r="209" ht="23.85" customHeight="1" s="34">
      <c r="A209" s="57" t="inlineStr">
        <is>
          <t>A0208</t>
        </is>
      </c>
      <c r="B209" s="58" t="n">
        <v>46273</v>
      </c>
      <c r="C209" s="57" t="inlineStr">
        <is>
          <t>Visite terrain</t>
        </is>
      </c>
      <c r="D209" s="57" t="inlineStr">
        <is>
          <t>E027</t>
        </is>
      </c>
      <c r="E209" s="57">
        <f>IFERROR(INDEX(Entreprises!$B$2:$B$3000,MATCH(D209,Entreprises!$A$2:$A$3000,0)),"")</f>
        <v/>
      </c>
      <c r="F209" s="57" t="inlineStr">
        <is>
          <t>C044</t>
        </is>
      </c>
      <c r="G209" s="57">
        <f>IFERROR(INDEX(Contacts!$E$2:$E$3000,MATCH(F209,Contacts!$A$2:$A$3000,0)),"")</f>
        <v/>
      </c>
      <c r="H209" s="57" t="inlineStr">
        <is>
          <t>U007</t>
        </is>
      </c>
      <c r="I209" s="57">
        <f>IFERROR(INDEX(Commerciaux!$D$2:$D$3000,MATCH(H209,Commerciaux!$A$2:$A$3000,0)),"")</f>
        <v/>
      </c>
      <c r="J209" s="57" t="inlineStr">
        <is>
          <t>Compte rendu de visite</t>
        </is>
      </c>
      <c r="K209" s="40" t="inlineStr">
        <is>
          <t>Réunion avec Laetitia Fournier et Alexandre Colin sur les coffrets de fêtes 2027. Trois fournisseurs consultés. Attentes : réduction du poids, absence de plastique et maîtrise des coûts.</t>
        </is>
      </c>
      <c r="L209" s="57" t="inlineStr">
        <is>
          <t>Positif</t>
        </is>
      </c>
      <c r="M209" s="57" t="inlineStr">
        <is>
          <t>T042</t>
        </is>
      </c>
      <c r="N209" s="57" t="inlineStr">
        <is>
          <t>Présenter les concepts fin octobre</t>
        </is>
      </c>
      <c r="O209" s="58" t="n">
        <v>46321</v>
      </c>
      <c r="P209" s="60" t="n">
        <v>105</v>
      </c>
      <c r="Q209" s="57" t="inlineStr">
        <is>
          <t>Alexandre Colin</t>
        </is>
      </c>
    </row>
    <row r="210" ht="35.05" customHeight="1" s="34">
      <c r="A210" s="57" t="inlineStr">
        <is>
          <t>A0209</t>
        </is>
      </c>
      <c r="B210" s="58" t="n">
        <v>46274</v>
      </c>
      <c r="C210" s="57" t="inlineStr">
        <is>
          <t>Visite terrain</t>
        </is>
      </c>
      <c r="D210" s="57" t="inlineStr">
        <is>
          <t>E020</t>
        </is>
      </c>
      <c r="E210" s="57">
        <f>IFERROR(INDEX(Entreprises!$B$2:$B$3000,MATCH(D210,Entreprises!$A$2:$A$3000,0)),"")</f>
        <v/>
      </c>
      <c r="F210" s="57" t="inlineStr">
        <is>
          <t>C032</t>
        </is>
      </c>
      <c r="G210" s="57">
        <f>IFERROR(INDEX(Contacts!$E$2:$E$3000,MATCH(F210,Contacts!$A$2:$A$3000,0)),"")</f>
        <v/>
      </c>
      <c r="H210" s="57" t="inlineStr">
        <is>
          <t>U005</t>
        </is>
      </c>
      <c r="I210" s="57">
        <f>IFERROR(INDEX(Commerciaux!$D$2:$D$3000,MATCH(H210,Commerciaux!$A$2:$A$3000,0)),"")</f>
        <v/>
      </c>
      <c r="J210" s="57" t="inlineStr">
        <is>
          <t>Compte rendu de visite</t>
        </is>
      </c>
      <c r="K210" s="40" t="inlineStr">
        <is>
          <t>Visite avec Cédric Vidal sur la future gamme 2027. Besoin de caisses carton et d'étiquettes, volumes incertains la première année. Demande de souplesse sur les minimums et d'un engagement de délai.</t>
        </is>
      </c>
      <c r="L210" s="57" t="inlineStr">
        <is>
          <t>Positif</t>
        </is>
      </c>
      <c r="M210" s="57" t="inlineStr">
        <is>
          <t>T031</t>
        </is>
      </c>
      <c r="N210" s="57" t="inlineStr">
        <is>
          <t>Présenter l'offre avec un scénario de montée en charge</t>
        </is>
      </c>
      <c r="O210" s="58" t="n">
        <v>46324</v>
      </c>
      <c r="P210" s="60" t="n">
        <v>105</v>
      </c>
      <c r="Q210" s="57" t="n"/>
    </row>
    <row r="211" ht="46.25" customHeight="1" s="34">
      <c r="A211" s="57" t="inlineStr">
        <is>
          <t>A0210</t>
        </is>
      </c>
      <c r="B211" s="58" t="n">
        <v>46275</v>
      </c>
      <c r="C211" s="57" t="inlineStr">
        <is>
          <t>Visite terrain</t>
        </is>
      </c>
      <c r="D211" s="57" t="inlineStr">
        <is>
          <t>E008</t>
        </is>
      </c>
      <c r="E211" s="57">
        <f>IFERROR(INDEX(Entreprises!$B$2:$B$3000,MATCH(D211,Entreprises!$A$2:$A$3000,0)),"")</f>
        <v/>
      </c>
      <c r="F211" s="57" t="inlineStr">
        <is>
          <t>C012</t>
        </is>
      </c>
      <c r="G211" s="57">
        <f>IFERROR(INDEX(Contacts!$E$2:$E$3000,MATCH(F211,Contacts!$A$2:$A$3000,0)),"")</f>
        <v/>
      </c>
      <c r="H211" s="57" t="inlineStr">
        <is>
          <t>U003</t>
        </is>
      </c>
      <c r="I211" s="57">
        <f>IFERROR(INDEX(Commerciaux!$D$2:$D$3000,MATCH(H211,Commerciaux!$A$2:$A$3000,0)),"")</f>
        <v/>
      </c>
      <c r="J211" s="57" t="inlineStr">
        <is>
          <t>Compte rendu de visite</t>
        </is>
      </c>
      <c r="K211" s="40" t="inlineStr">
        <is>
          <t>Visite à Épernay avec Marie-Laure Rivière et Bastien Collet. Production des coffrets de fin d'année conforme au planning. Le marketing prépare une consultation sur des étuis allégés pour 2027, avec un objectif de réduction du grammage. Bastien Collet demande des prototypes avec dorure sans film plastique.</t>
        </is>
      </c>
      <c r="L211" s="57" t="inlineStr">
        <is>
          <t>Positif</t>
        </is>
      </c>
      <c r="M211" s="57" t="inlineStr">
        <is>
          <t>T013</t>
        </is>
      </c>
      <c r="N211" s="57" t="inlineStr">
        <is>
          <t>Présenter les prototypes d'étuis allégés</t>
        </is>
      </c>
      <c r="O211" s="58" t="n">
        <v>46308</v>
      </c>
      <c r="P211" s="60" t="n">
        <v>105</v>
      </c>
      <c r="Q211" s="57" t="inlineStr">
        <is>
          <t>Bastien Collet</t>
        </is>
      </c>
    </row>
    <row r="212" ht="23.85" customHeight="1" s="34">
      <c r="A212" s="57" t="inlineStr">
        <is>
          <t>A0211</t>
        </is>
      </c>
      <c r="B212" s="58" t="n">
        <v>46275</v>
      </c>
      <c r="C212" s="57" t="inlineStr">
        <is>
          <t>Appel</t>
        </is>
      </c>
      <c r="D212" s="57" t="inlineStr">
        <is>
          <t>E015</t>
        </is>
      </c>
      <c r="E212" s="57">
        <f>IFERROR(INDEX(Entreprises!$B$2:$B$3000,MATCH(D212,Entreprises!$A$2:$A$3000,0)),"")</f>
        <v/>
      </c>
      <c r="F212" s="57" t="inlineStr">
        <is>
          <t>C025</t>
        </is>
      </c>
      <c r="G212" s="57">
        <f>IFERROR(INDEX(Contacts!$E$2:$E$3000,MATCH(F212,Contacts!$A$2:$A$3000,0)),"")</f>
        <v/>
      </c>
      <c r="H212" s="57" t="inlineStr">
        <is>
          <t>U004</t>
        </is>
      </c>
      <c r="I212" s="57">
        <f>IFERROR(INDEX(Commerciaux!$D$2:$D$3000,MATCH(H212,Commerciaux!$A$2:$A$3000,0)),"")</f>
        <v/>
      </c>
      <c r="J212" s="57" t="inlineStr">
        <is>
          <t>Appel de qualification</t>
        </is>
      </c>
      <c r="K212" s="40" t="inlineStr">
        <is>
          <t>Besoin d'étiquettes résistantes pour des sacs stockés en extérieur. Volume estimé à confirmer. Visio de qualification proposée.</t>
        </is>
      </c>
      <c r="L212" s="57" t="inlineStr">
        <is>
          <t>Positif</t>
        </is>
      </c>
      <c r="M212" s="57" t="inlineStr">
        <is>
          <t>T025</t>
        </is>
      </c>
      <c r="N212" s="57" t="inlineStr">
        <is>
          <t>Envoyer une invitation pour la visio</t>
        </is>
      </c>
      <c r="O212" s="58" t="n">
        <v>46283</v>
      </c>
      <c r="P212" s="60" t="n">
        <v>20</v>
      </c>
      <c r="Q212" s="57" t="n"/>
    </row>
    <row r="213" ht="23.85" customHeight="1" s="34">
      <c r="A213" s="57" t="inlineStr">
        <is>
          <t>A0212</t>
        </is>
      </c>
      <c r="B213" s="58" t="n">
        <v>46275</v>
      </c>
      <c r="C213" s="57" t="inlineStr">
        <is>
          <t>E-mail</t>
        </is>
      </c>
      <c r="D213" s="57" t="inlineStr">
        <is>
          <t>E016</t>
        </is>
      </c>
      <c r="E213" s="57">
        <f>IFERROR(INDEX(Entreprises!$B$2:$B$3000,MATCH(D213,Entreprises!$A$2:$A$3000,0)),"")</f>
        <v/>
      </c>
      <c r="F213" s="57" t="inlineStr">
        <is>
          <t>C026</t>
        </is>
      </c>
      <c r="G213" s="57">
        <f>IFERROR(INDEX(Contacts!$E$2:$E$3000,MATCH(F213,Contacts!$A$2:$A$3000,0)),"")</f>
        <v/>
      </c>
      <c r="H213" s="57" t="inlineStr">
        <is>
          <t>U004</t>
        </is>
      </c>
      <c r="I213" s="57">
        <f>IFERROR(INDEX(Commerciaux!$D$2:$D$3000,MATCH(H213,Commerciaux!$A$2:$A$3000,0)),"")</f>
        <v/>
      </c>
      <c r="J213" s="57" t="inlineStr">
        <is>
          <t>Envoi du compte rendu de visite</t>
        </is>
      </c>
      <c r="K213" s="40" t="inlineStr">
        <is>
          <t>Envoi à Anaïs Lopez du compte rendu de la visite du 08/09/2026 et des prochaines étapes convenues.</t>
        </is>
      </c>
      <c r="L213" s="57" t="inlineStr">
        <is>
          <t>Neutre</t>
        </is>
      </c>
      <c r="M213" s="57" t="inlineStr">
        <is>
          <t>T026</t>
        </is>
      </c>
      <c r="N213" s="57" t="n"/>
      <c r="O213" s="58" t="n"/>
      <c r="P213" s="60" t="n"/>
      <c r="Q213" s="57" t="n"/>
    </row>
    <row r="214" ht="15" customHeight="1" s="34">
      <c r="A214" s="57" t="inlineStr">
        <is>
          <t>A0213</t>
        </is>
      </c>
      <c r="B214" s="58" t="n">
        <v>46276</v>
      </c>
      <c r="C214" s="57" t="inlineStr">
        <is>
          <t>Appel</t>
        </is>
      </c>
      <c r="D214" s="57" t="inlineStr">
        <is>
          <t>E025</t>
        </is>
      </c>
      <c r="E214" s="57">
        <f>IFERROR(INDEX(Entreprises!$B$2:$B$3000,MATCH(D214,Entreprises!$A$2:$A$3000,0)),"")</f>
        <v/>
      </c>
      <c r="F214" s="57" t="inlineStr">
        <is>
          <t>C040</t>
        </is>
      </c>
      <c r="G214" s="57">
        <f>IFERROR(INDEX(Contacts!$E$2:$E$3000,MATCH(F214,Contacts!$A$2:$A$3000,0)),"")</f>
        <v/>
      </c>
      <c r="H214" s="57" t="inlineStr">
        <is>
          <t>U007</t>
        </is>
      </c>
      <c r="I214" s="57">
        <f>IFERROR(INDEX(Commerciaux!$D$2:$D$3000,MATCH(H214,Commerciaux!$A$2:$A$3000,0)),"")</f>
        <v/>
      </c>
      <c r="J214" s="57" t="inlineStr">
        <is>
          <t>Suivi de livraison</t>
        </is>
      </c>
      <c r="K214" s="40" t="inlineStr">
        <is>
          <t>Appel de suivi après la dernière livraison. Frédéric Masson confirme la conformité des lots reçus.</t>
        </is>
      </c>
      <c r="L214" s="57" t="inlineStr">
        <is>
          <t>Positif</t>
        </is>
      </c>
      <c r="M214" s="57" t="n"/>
      <c r="N214" s="57" t="n"/>
      <c r="O214" s="58" t="n"/>
      <c r="P214" s="60" t="n">
        <v>5</v>
      </c>
      <c r="Q214" s="57" t="n"/>
    </row>
    <row r="215" ht="23.85" customHeight="1" s="34">
      <c r="A215" s="57" t="inlineStr">
        <is>
          <t>A0214</t>
        </is>
      </c>
      <c r="B215" s="58" t="n">
        <v>46276</v>
      </c>
      <c r="C215" s="57" t="inlineStr">
        <is>
          <t>E-mail</t>
        </is>
      </c>
      <c r="D215" s="57" t="inlineStr">
        <is>
          <t>E027</t>
        </is>
      </c>
      <c r="E215" s="57">
        <f>IFERROR(INDEX(Entreprises!$B$2:$B$3000,MATCH(D215,Entreprises!$A$2:$A$3000,0)),"")</f>
        <v/>
      </c>
      <c r="F215" s="57" t="inlineStr">
        <is>
          <t>C044</t>
        </is>
      </c>
      <c r="G215" s="57">
        <f>IFERROR(INDEX(Contacts!$E$2:$E$3000,MATCH(F215,Contacts!$A$2:$A$3000,0)),"")</f>
        <v/>
      </c>
      <c r="H215" s="57" t="inlineStr">
        <is>
          <t>U007</t>
        </is>
      </c>
      <c r="I215" s="57">
        <f>IFERROR(INDEX(Commerciaux!$D$2:$D$3000,MATCH(H215,Commerciaux!$A$2:$A$3000,0)),"")</f>
        <v/>
      </c>
      <c r="J215" s="57" t="inlineStr">
        <is>
          <t>Envoi du compte rendu de visite</t>
        </is>
      </c>
      <c r="K215" s="40" t="inlineStr">
        <is>
          <t>Envoi à Laetitia Fournier du compte rendu de la visite du 08/09/2026 et des prochaines étapes convenues.</t>
        </is>
      </c>
      <c r="L215" s="57" t="inlineStr">
        <is>
          <t>Neutre</t>
        </is>
      </c>
      <c r="M215" s="57" t="inlineStr">
        <is>
          <t>T042</t>
        </is>
      </c>
      <c r="N215" s="57" t="n"/>
      <c r="O215" s="58" t="n"/>
      <c r="P215" s="60" t="n"/>
      <c r="Q215" s="57" t="n"/>
    </row>
    <row r="216" ht="23.85" customHeight="1" s="34">
      <c r="A216" s="57" t="inlineStr">
        <is>
          <t>A0215</t>
        </is>
      </c>
      <c r="B216" s="58" t="n">
        <v>46279</v>
      </c>
      <c r="C216" s="57" t="inlineStr">
        <is>
          <t>E-mail</t>
        </is>
      </c>
      <c r="D216" s="57" t="inlineStr">
        <is>
          <t>E008</t>
        </is>
      </c>
      <c r="E216" s="57">
        <f>IFERROR(INDEX(Entreprises!$B$2:$B$3000,MATCH(D216,Entreprises!$A$2:$A$3000,0)),"")</f>
        <v/>
      </c>
      <c r="F216" s="57" t="inlineStr">
        <is>
          <t>C012</t>
        </is>
      </c>
      <c r="G216" s="57">
        <f>IFERROR(INDEX(Contacts!$E$2:$E$3000,MATCH(F216,Contacts!$A$2:$A$3000,0)),"")</f>
        <v/>
      </c>
      <c r="H216" s="57" t="inlineStr">
        <is>
          <t>U003</t>
        </is>
      </c>
      <c r="I216" s="57">
        <f>IFERROR(INDEX(Commerciaux!$D$2:$D$3000,MATCH(H216,Commerciaux!$A$2:$A$3000,0)),"")</f>
        <v/>
      </c>
      <c r="J216" s="57" t="inlineStr">
        <is>
          <t>Envoi du compte rendu de visite</t>
        </is>
      </c>
      <c r="K216" s="40" t="inlineStr">
        <is>
          <t>Envoi à Marie-Laure Rivière du compte rendu de la visite du 10/09/2026 et des prochaines étapes convenues.</t>
        </is>
      </c>
      <c r="L216" s="57" t="inlineStr">
        <is>
          <t>Neutre</t>
        </is>
      </c>
      <c r="M216" s="57" t="inlineStr">
        <is>
          <t>T013</t>
        </is>
      </c>
      <c r="N216" s="57" t="n"/>
      <c r="O216" s="58" t="n"/>
      <c r="P216" s="60" t="n"/>
      <c r="Q216" s="57" t="n"/>
    </row>
    <row r="217" ht="23.85" customHeight="1" s="34">
      <c r="A217" s="57" t="inlineStr">
        <is>
          <t>A0216</t>
        </is>
      </c>
      <c r="B217" s="58" t="n">
        <v>46279</v>
      </c>
      <c r="C217" s="57" t="inlineStr">
        <is>
          <t>E-mail</t>
        </is>
      </c>
      <c r="D217" s="57" t="inlineStr">
        <is>
          <t>E020</t>
        </is>
      </c>
      <c r="E217" s="57">
        <f>IFERROR(INDEX(Entreprises!$B$2:$B$3000,MATCH(D217,Entreprises!$A$2:$A$3000,0)),"")</f>
        <v/>
      </c>
      <c r="F217" s="57" t="inlineStr">
        <is>
          <t>C032</t>
        </is>
      </c>
      <c r="G217" s="57">
        <f>IFERROR(INDEX(Contacts!$E$2:$E$3000,MATCH(F217,Contacts!$A$2:$A$3000,0)),"")</f>
        <v/>
      </c>
      <c r="H217" s="57" t="inlineStr">
        <is>
          <t>U005</t>
        </is>
      </c>
      <c r="I217" s="57">
        <f>IFERROR(INDEX(Commerciaux!$D$2:$D$3000,MATCH(H217,Commerciaux!$A$2:$A$3000,0)),"")</f>
        <v/>
      </c>
      <c r="J217" s="57" t="inlineStr">
        <is>
          <t>Envoi du compte rendu de visite</t>
        </is>
      </c>
      <c r="K217" s="40" t="inlineStr">
        <is>
          <t>Envoi à Cédric Vidal du compte rendu de la visite du 09/09/2026 et des prochaines étapes convenues.</t>
        </is>
      </c>
      <c r="L217" s="57" t="inlineStr">
        <is>
          <t>Neutre</t>
        </is>
      </c>
      <c r="M217" s="57" t="inlineStr">
        <is>
          <t>T031</t>
        </is>
      </c>
      <c r="N217" s="57" t="n"/>
      <c r="O217" s="58" t="n"/>
      <c r="P217" s="60" t="n"/>
      <c r="Q217" s="57" t="n"/>
    </row>
    <row r="218" ht="46.25" customHeight="1" s="34">
      <c r="A218" s="57" t="inlineStr">
        <is>
          <t>A0217</t>
        </is>
      </c>
      <c r="B218" s="58" t="n">
        <v>46279</v>
      </c>
      <c r="C218" s="57" t="inlineStr">
        <is>
          <t>Visite terrain</t>
        </is>
      </c>
      <c r="D218" s="57" t="inlineStr">
        <is>
          <t>E022</t>
        </is>
      </c>
      <c r="E218" s="57">
        <f>IFERROR(INDEX(Entreprises!$B$2:$B$3000,MATCH(D218,Entreprises!$A$2:$A$3000,0)),"")</f>
        <v/>
      </c>
      <c r="F218" s="57" t="inlineStr">
        <is>
          <t>C035</t>
        </is>
      </c>
      <c r="G218" s="57">
        <f>IFERROR(INDEX(Contacts!$E$2:$E$3000,MATCH(F218,Contacts!$A$2:$A$3000,0)),"")</f>
        <v/>
      </c>
      <c r="H218" s="57" t="inlineStr">
        <is>
          <t>U006</t>
        </is>
      </c>
      <c r="I218" s="57">
        <f>IFERROR(INDEX(Commerciaux!$D$2:$D$3000,MATCH(H218,Commerciaux!$A$2:$A$3000,0)),"")</f>
        <v/>
      </c>
      <c r="J218" s="57" t="inlineStr">
        <is>
          <t>Compte rendu de visite</t>
        </is>
      </c>
      <c r="K218" s="40" t="inlineStr">
        <is>
          <t>Rendez-vous au siège avec Hélène Bouvier et Patrick Renaud. Hélène Bouvier annonce la consultation pour le renouvellement de l'accord-cadre étuis et notices, lancement prévu en novembre. Patrick Renaud confirme l'avancement de la sérialisation sur un site supplémentaire, avec un comité de pilotage mi-octobre.</t>
        </is>
      </c>
      <c r="L218" s="57" t="inlineStr">
        <is>
          <t>Positif</t>
        </is>
      </c>
      <c r="M218" s="57" t="inlineStr">
        <is>
          <t>T034</t>
        </is>
      </c>
      <c r="N218" s="57" t="inlineStr">
        <is>
          <t>Préparer le comité de pilotage et le dossier de candidature</t>
        </is>
      </c>
      <c r="O218" s="58" t="n">
        <v>46309</v>
      </c>
      <c r="P218" s="60" t="n">
        <v>120</v>
      </c>
      <c r="Q218" s="57" t="inlineStr">
        <is>
          <t>Patrick Renaud</t>
        </is>
      </c>
    </row>
    <row r="219" ht="23.85" customHeight="1" s="34">
      <c r="A219" s="57" t="inlineStr">
        <is>
          <t>A0218</t>
        </is>
      </c>
      <c r="B219" s="58" t="n">
        <v>46279</v>
      </c>
      <c r="C219" s="57" t="inlineStr">
        <is>
          <t>Appel</t>
        </is>
      </c>
      <c r="D219" s="57" t="inlineStr">
        <is>
          <t>E028</t>
        </is>
      </c>
      <c r="E219" s="57">
        <f>IFERROR(INDEX(Entreprises!$B$2:$B$3000,MATCH(D219,Entreprises!$A$2:$A$3000,0)),"")</f>
        <v/>
      </c>
      <c r="F219" s="57" t="inlineStr">
        <is>
          <t>C046</t>
        </is>
      </c>
      <c r="G219" s="57">
        <f>IFERROR(INDEX(Contacts!$E$2:$E$3000,MATCH(F219,Contacts!$A$2:$A$3000,0)),"")</f>
        <v/>
      </c>
      <c r="H219" s="57" t="inlineStr">
        <is>
          <t>U007</t>
        </is>
      </c>
      <c r="I219" s="57">
        <f>IFERROR(INDEX(Commerciaux!$D$2:$D$3000,MATCH(H219,Commerciaux!$A$2:$A$3000,0)),"")</f>
        <v/>
      </c>
      <c r="J219" s="57" t="inlineStr">
        <is>
          <t>Point d'avancement projet</t>
        </is>
      </c>
      <c r="K219" s="40" t="inlineStr">
        <is>
          <t>Échange téléphonique avec Éric Lemoine sur le calendrier concernant les étiquettes de la gamme export. Décision interne attendue dans les prochaines semaines.</t>
        </is>
      </c>
      <c r="L219" s="57" t="inlineStr">
        <is>
          <t>Positif</t>
        </is>
      </c>
      <c r="M219" s="57" t="n"/>
      <c r="N219" s="57" t="n"/>
      <c r="O219" s="58" t="n"/>
      <c r="P219" s="60" t="n">
        <v>10</v>
      </c>
      <c r="Q219" s="57" t="n"/>
    </row>
    <row r="220" ht="35.05" customHeight="1" s="34">
      <c r="A220" s="57" t="inlineStr">
        <is>
          <t>A0219</t>
        </is>
      </c>
      <c r="B220" s="58" t="n">
        <v>46280</v>
      </c>
      <c r="C220" s="57" t="inlineStr">
        <is>
          <t>Visite terrain</t>
        </is>
      </c>
      <c r="D220" s="57" t="inlineStr">
        <is>
          <t>E012</t>
        </is>
      </c>
      <c r="E220" s="57">
        <f>IFERROR(INDEX(Entreprises!$B$2:$B$3000,MATCH(D220,Entreprises!$A$2:$A$3000,0)),"")</f>
        <v/>
      </c>
      <c r="F220" s="57" t="inlineStr">
        <is>
          <t>C019</t>
        </is>
      </c>
      <c r="G220" s="57">
        <f>IFERROR(INDEX(Contacts!$E$2:$E$3000,MATCH(F220,Contacts!$A$2:$A$3000,0)),"")</f>
        <v/>
      </c>
      <c r="H220" s="57" t="inlineStr">
        <is>
          <t>U004</t>
        </is>
      </c>
      <c r="I220" s="57">
        <f>IFERROR(INDEX(Commerciaux!$D$2:$D$3000,MATCH(H220,Commerciaux!$A$2:$A$3000,0)),"")</f>
        <v/>
      </c>
      <c r="J220" s="57" t="inlineStr">
        <is>
          <t>Compte rendu de visite</t>
        </is>
      </c>
      <c r="K220" s="40" t="inlineStr">
        <is>
          <t>Visite à Marcy-l'Étoile avec Isabelle Roche et Mathieu Faure. Le projet de sérialisation export avance : étude de faisabilité validée, consultation lancée. Nous sommes deux fournisseurs en short-list. Mathieu Faure veut une démonstration de la solution DataMatrix sur une ligne pilote.</t>
        </is>
      </c>
      <c r="L220" s="57" t="inlineStr">
        <is>
          <t>Positif</t>
        </is>
      </c>
      <c r="M220" s="57" t="inlineStr">
        <is>
          <t>T020</t>
        </is>
      </c>
      <c r="N220" s="57" t="inlineStr">
        <is>
          <t>Organiser la démonstration sur ligne pilote</t>
        </is>
      </c>
      <c r="O220" s="58" t="n">
        <v>46308</v>
      </c>
      <c r="P220" s="60" t="n">
        <v>90</v>
      </c>
      <c r="Q220" s="57" t="inlineStr">
        <is>
          <t>Mathieu Faure</t>
        </is>
      </c>
    </row>
    <row r="221" ht="46.25" customHeight="1" s="34">
      <c r="A221" s="57" t="inlineStr">
        <is>
          <t>A0220</t>
        </is>
      </c>
      <c r="B221" s="58" t="n">
        <v>46281</v>
      </c>
      <c r="C221" s="57" t="inlineStr">
        <is>
          <t>Visite terrain</t>
        </is>
      </c>
      <c r="D221" s="57" t="inlineStr">
        <is>
          <t>E019</t>
        </is>
      </c>
      <c r="E221" s="57">
        <f>IFERROR(INDEX(Entreprises!$B$2:$B$3000,MATCH(D221,Entreprises!$A$2:$A$3000,0)),"")</f>
        <v/>
      </c>
      <c r="F221" s="57" t="inlineStr">
        <is>
          <t>C030</t>
        </is>
      </c>
      <c r="G221" s="57">
        <f>IFERROR(INDEX(Contacts!$E$2:$E$3000,MATCH(F221,Contacts!$A$2:$A$3000,0)),"")</f>
        <v/>
      </c>
      <c r="H221" s="57" t="inlineStr">
        <is>
          <t>U005</t>
        </is>
      </c>
      <c r="I221" s="57">
        <f>IFERROR(INDEX(Commerciaux!$D$2:$D$3000,MATCH(H221,Commerciaux!$A$2:$A$3000,0)),"")</f>
        <v/>
      </c>
      <c r="J221" s="57" t="inlineStr">
        <is>
          <t>Compte rendu de visite</t>
        </is>
      </c>
      <c r="K221" s="40" t="inlineStr">
        <is>
          <t>Réunion à Castres avec Sandrine Delmas et Benoît Carrière suite au défaut de pliage signalé. Benoît Carrière demande une analyse de cause sous trois semaines. Sandrine Delmas rappelle que le contrat arrive à échéance en janvier et qu'un appel d'offres est envisagé si le problème persiste.</t>
        </is>
      </c>
      <c r="L221" s="57" t="inlineStr">
        <is>
          <t>Négatif</t>
        </is>
      </c>
      <c r="M221" s="57" t="inlineStr">
        <is>
          <t>T030</t>
        </is>
      </c>
      <c r="N221" s="57" t="inlineStr">
        <is>
          <t>Remettre l'analyse de cause et préparer la proposition de renouvellement</t>
        </is>
      </c>
      <c r="O221" s="58" t="n">
        <v>46302</v>
      </c>
      <c r="P221" s="60" t="n">
        <v>120</v>
      </c>
      <c r="Q221" s="57" t="inlineStr">
        <is>
          <t>Benoît Carrière</t>
        </is>
      </c>
    </row>
    <row r="222" ht="23.85" customHeight="1" s="34">
      <c r="A222" s="57" t="inlineStr">
        <is>
          <t>A0221</t>
        </is>
      </c>
      <c r="B222" s="58" t="n">
        <v>46281</v>
      </c>
      <c r="C222" s="57" t="inlineStr">
        <is>
          <t>E-mail</t>
        </is>
      </c>
      <c r="D222" s="57" t="inlineStr">
        <is>
          <t>E022</t>
        </is>
      </c>
      <c r="E222" s="57">
        <f>IFERROR(INDEX(Entreprises!$B$2:$B$3000,MATCH(D222,Entreprises!$A$2:$A$3000,0)),"")</f>
        <v/>
      </c>
      <c r="F222" s="57" t="inlineStr">
        <is>
          <t>C035</t>
        </is>
      </c>
      <c r="G222" s="57">
        <f>IFERROR(INDEX(Contacts!$E$2:$E$3000,MATCH(F222,Contacts!$A$2:$A$3000,0)),"")</f>
        <v/>
      </c>
      <c r="H222" s="57" t="inlineStr">
        <is>
          <t>U006</t>
        </is>
      </c>
      <c r="I222" s="57">
        <f>IFERROR(INDEX(Commerciaux!$D$2:$D$3000,MATCH(H222,Commerciaux!$A$2:$A$3000,0)),"")</f>
        <v/>
      </c>
      <c r="J222" s="57" t="inlineStr">
        <is>
          <t>Envoi du compte rendu de visite</t>
        </is>
      </c>
      <c r="K222" s="40" t="inlineStr">
        <is>
          <t>Envoi à Hélène Bouvier du compte rendu de la visite du 14/09/2026 et des prochaines étapes convenues.</t>
        </is>
      </c>
      <c r="L222" s="57" t="inlineStr">
        <is>
          <t>Neutre</t>
        </is>
      </c>
      <c r="M222" s="57" t="inlineStr">
        <is>
          <t>T034</t>
        </is>
      </c>
      <c r="N222" s="57" t="n"/>
      <c r="O222" s="58" t="n"/>
      <c r="P222" s="60" t="n"/>
      <c r="Q222" s="57" t="n"/>
    </row>
    <row r="223" ht="57.45" customHeight="1" s="34">
      <c r="A223" s="57" t="inlineStr">
        <is>
          <t>A0222</t>
        </is>
      </c>
      <c r="B223" s="58" t="n">
        <v>46282</v>
      </c>
      <c r="C223" s="57" t="inlineStr">
        <is>
          <t>Visite terrain</t>
        </is>
      </c>
      <c r="D223" s="57" t="inlineStr">
        <is>
          <t>E002</t>
        </is>
      </c>
      <c r="E223" s="57">
        <f>IFERROR(INDEX(Entreprises!$B$2:$B$3000,MATCH(D223,Entreprises!$A$2:$A$3000,0)),"")</f>
        <v/>
      </c>
      <c r="F223" s="57" t="inlineStr">
        <is>
          <t>C004</t>
        </is>
      </c>
      <c r="G223" s="57">
        <f>IFERROR(INDEX(Contacts!$E$2:$E$3000,MATCH(F223,Contacts!$A$2:$A$3000,0)),"")</f>
        <v/>
      </c>
      <c r="H223" s="57" t="inlineStr">
        <is>
          <t>U002</t>
        </is>
      </c>
      <c r="I223" s="57">
        <f>IFERROR(INDEX(Commerciaux!$D$2:$D$3000,MATCH(H223,Commerciaux!$A$2:$A$3000,0)),"")</f>
        <v/>
      </c>
      <c r="J223" s="57" t="inlineStr">
        <is>
          <t>Compte rendu de visite</t>
        </is>
      </c>
      <c r="K223" s="40" t="inlineStr">
        <is>
          <t>Premier rendez-vous avec Philippe Delattre, arrivé en janvier au poste de directeur industriel, en présence de l'acheteuse Aurélie Vasseur. Il veut automatiser la mise en carton d'une ligne de levure sèche d'ici la fin du premier semestre 2027, avec une cadence visée de 18 cartons par minute. Aurélie Vasseur rappelle que le budget d'investissement se décide en novembre. Un concurrent, Emballor Industries, a déjà fait une démonstration en août.</t>
        </is>
      </c>
      <c r="L223" s="57" t="inlineStr">
        <is>
          <t>Positif</t>
        </is>
      </c>
      <c r="M223" s="57" t="inlineStr">
        <is>
          <t>T004</t>
        </is>
      </c>
      <c r="N223" s="57" t="inlineStr">
        <is>
          <t>Organiser la démonstration de l'encartonneuse EC-200</t>
        </is>
      </c>
      <c r="O223" s="58" t="n">
        <v>46307</v>
      </c>
      <c r="P223" s="60" t="n">
        <v>90</v>
      </c>
      <c r="Q223" s="57" t="inlineStr">
        <is>
          <t>Aurélie Vasseur</t>
        </is>
      </c>
    </row>
    <row r="224" ht="23.85" customHeight="1" s="34">
      <c r="A224" s="57" t="inlineStr">
        <is>
          <t>A0223</t>
        </is>
      </c>
      <c r="B224" s="58" t="n">
        <v>46282</v>
      </c>
      <c r="C224" s="57" t="inlineStr">
        <is>
          <t>E-mail</t>
        </is>
      </c>
      <c r="D224" s="57" t="inlineStr">
        <is>
          <t>E012</t>
        </is>
      </c>
      <c r="E224" s="57">
        <f>IFERROR(INDEX(Entreprises!$B$2:$B$3000,MATCH(D224,Entreprises!$A$2:$A$3000,0)),"")</f>
        <v/>
      </c>
      <c r="F224" s="57" t="inlineStr">
        <is>
          <t>C019</t>
        </is>
      </c>
      <c r="G224" s="57">
        <f>IFERROR(INDEX(Contacts!$E$2:$E$3000,MATCH(F224,Contacts!$A$2:$A$3000,0)),"")</f>
        <v/>
      </c>
      <c r="H224" s="57" t="inlineStr">
        <is>
          <t>U004</t>
        </is>
      </c>
      <c r="I224" s="57">
        <f>IFERROR(INDEX(Commerciaux!$D$2:$D$3000,MATCH(H224,Commerciaux!$A$2:$A$3000,0)),"")</f>
        <v/>
      </c>
      <c r="J224" s="57" t="inlineStr">
        <is>
          <t>Envoi du compte rendu de visite</t>
        </is>
      </c>
      <c r="K224" s="40" t="inlineStr">
        <is>
          <t>Envoi à Isabelle Roche du compte rendu de la visite du 15/09/2026 et des prochaines étapes convenues.</t>
        </is>
      </c>
      <c r="L224" s="57" t="inlineStr">
        <is>
          <t>Neutre</t>
        </is>
      </c>
      <c r="M224" s="57" t="inlineStr">
        <is>
          <t>T020</t>
        </is>
      </c>
      <c r="N224" s="57" t="n"/>
      <c r="O224" s="58" t="n"/>
      <c r="P224" s="60" t="n"/>
      <c r="Q224" s="57" t="n"/>
    </row>
    <row r="225" ht="23.85" customHeight="1" s="34">
      <c r="A225" s="57" t="inlineStr">
        <is>
          <t>A0224</t>
        </is>
      </c>
      <c r="B225" s="58" t="n">
        <v>46283</v>
      </c>
      <c r="C225" s="57" t="inlineStr">
        <is>
          <t>E-mail</t>
        </is>
      </c>
      <c r="D225" s="57" t="inlineStr">
        <is>
          <t>E015</t>
        </is>
      </c>
      <c r="E225" s="57">
        <f>IFERROR(INDEX(Entreprises!$B$2:$B$3000,MATCH(D225,Entreprises!$A$2:$A$3000,0)),"")</f>
        <v/>
      </c>
      <c r="F225" s="57" t="inlineStr">
        <is>
          <t>C025</t>
        </is>
      </c>
      <c r="G225" s="57">
        <f>IFERROR(INDEX(Contacts!$E$2:$E$3000,MATCH(F225,Contacts!$A$2:$A$3000,0)),"")</f>
        <v/>
      </c>
      <c r="H225" s="57" t="inlineStr">
        <is>
          <t>U004</t>
        </is>
      </c>
      <c r="I225" s="57">
        <f>IFERROR(INDEX(Commerciaux!$D$2:$D$3000,MATCH(H225,Commerciaux!$A$2:$A$3000,0)),"")</f>
        <v/>
      </c>
      <c r="J225" s="57" t="inlineStr">
        <is>
          <t>Invitation visio</t>
        </is>
      </c>
      <c r="K225" s="40" t="inlineStr">
        <is>
          <t>Envoi d'une invitation pour une visio de qualification le 29/10 et de fiches techniques d'étiquettes synthétiques.</t>
        </is>
      </c>
      <c r="L225" s="57" t="inlineStr">
        <is>
          <t>Neutre</t>
        </is>
      </c>
      <c r="M225" s="57" t="inlineStr">
        <is>
          <t>T025</t>
        </is>
      </c>
      <c r="N225" s="57" t="n"/>
      <c r="O225" s="58" t="n"/>
      <c r="P225" s="60" t="n"/>
      <c r="Q225" s="57" t="n"/>
    </row>
    <row r="226" ht="23.85" customHeight="1" s="34">
      <c r="A226" s="57" t="inlineStr">
        <is>
          <t>A0225</t>
        </is>
      </c>
      <c r="B226" s="58" t="n">
        <v>46283</v>
      </c>
      <c r="C226" s="57" t="inlineStr">
        <is>
          <t>E-mail</t>
        </is>
      </c>
      <c r="D226" s="57" t="inlineStr">
        <is>
          <t>E019</t>
        </is>
      </c>
      <c r="E226" s="57">
        <f>IFERROR(INDEX(Entreprises!$B$2:$B$3000,MATCH(D226,Entreprises!$A$2:$A$3000,0)),"")</f>
        <v/>
      </c>
      <c r="F226" s="57" t="inlineStr">
        <is>
          <t>C030</t>
        </is>
      </c>
      <c r="G226" s="57">
        <f>IFERROR(INDEX(Contacts!$E$2:$E$3000,MATCH(F226,Contacts!$A$2:$A$3000,0)),"")</f>
        <v/>
      </c>
      <c r="H226" s="57" t="inlineStr">
        <is>
          <t>U005</t>
        </is>
      </c>
      <c r="I226" s="57">
        <f>IFERROR(INDEX(Commerciaux!$D$2:$D$3000,MATCH(H226,Commerciaux!$A$2:$A$3000,0)),"")</f>
        <v/>
      </c>
      <c r="J226" s="57" t="inlineStr">
        <is>
          <t>Envoi du compte rendu de visite</t>
        </is>
      </c>
      <c r="K226" s="40" t="inlineStr">
        <is>
          <t>Envoi à Sandrine Delmas du compte rendu de la visite du 16/09/2026 et des prochaines étapes convenues.</t>
        </is>
      </c>
      <c r="L226" s="57" t="inlineStr">
        <is>
          <t>Neutre</t>
        </is>
      </c>
      <c r="M226" s="57" t="inlineStr">
        <is>
          <t>T030</t>
        </is>
      </c>
      <c r="N226" s="57" t="n"/>
      <c r="O226" s="58" t="n"/>
      <c r="P226" s="60" t="n"/>
      <c r="Q226" s="57" t="n"/>
    </row>
    <row r="227" ht="35.05" customHeight="1" s="34">
      <c r="A227" s="57" t="inlineStr">
        <is>
          <t>A0226</t>
        </is>
      </c>
      <c r="B227" s="58" t="n">
        <v>46283</v>
      </c>
      <c r="C227" s="57" t="inlineStr">
        <is>
          <t>Visite terrain</t>
        </is>
      </c>
      <c r="D227" s="57" t="inlineStr">
        <is>
          <t>E025</t>
        </is>
      </c>
      <c r="E227" s="57">
        <f>IFERROR(INDEX(Entreprises!$B$2:$B$3000,MATCH(D227,Entreprises!$A$2:$A$3000,0)),"")</f>
        <v/>
      </c>
      <c r="F227" s="57" t="inlineStr">
        <is>
          <t>C040</t>
        </is>
      </c>
      <c r="G227" s="57">
        <f>IFERROR(INDEX(Contacts!$E$2:$E$3000,MATCH(F227,Contacts!$A$2:$A$3000,0)),"")</f>
        <v/>
      </c>
      <c r="H227" s="57" t="inlineStr">
        <is>
          <t>U007</t>
        </is>
      </c>
      <c r="I227" s="57">
        <f>IFERROR(INDEX(Commerciaux!$D$2:$D$3000,MATCH(H227,Commerciaux!$A$2:$A$3000,0)),"")</f>
        <v/>
      </c>
      <c r="J227" s="57" t="inlineStr">
        <is>
          <t>Compte rendu de visite</t>
        </is>
      </c>
      <c r="K227" s="40" t="inlineStr">
        <is>
          <t>Visite au siège avec Frédéric Masson et Manon Leclerc. Le programme d'éco-conception des coffrets entre en phase de sélection fournisseurs. Manon Leclerc attend des analyses de cycle de vie comparatives. Frédéric Masson évoque une révision du panel fournisseurs en 2027.</t>
        </is>
      </c>
      <c r="L227" s="57" t="inlineStr">
        <is>
          <t>Positif</t>
        </is>
      </c>
      <c r="M227" s="57" t="inlineStr">
        <is>
          <t>T039</t>
        </is>
      </c>
      <c r="N227" s="57" t="inlineStr">
        <is>
          <t>Transmettre les analyses de cycle de vie</t>
        </is>
      </c>
      <c r="O227" s="58" t="n">
        <v>46304</v>
      </c>
      <c r="P227" s="60" t="n">
        <v>90</v>
      </c>
      <c r="Q227" s="57" t="inlineStr">
        <is>
          <t>Manon Leclerc</t>
        </is>
      </c>
    </row>
    <row r="228" ht="23.85" customHeight="1" s="34">
      <c r="A228" s="57" t="inlineStr">
        <is>
          <t>A0227</t>
        </is>
      </c>
      <c r="B228" s="58" t="n">
        <v>46286</v>
      </c>
      <c r="C228" s="57" t="inlineStr">
        <is>
          <t>Appel</t>
        </is>
      </c>
      <c r="D228" s="57" t="inlineStr">
        <is>
          <t>E004</t>
        </is>
      </c>
      <c r="E228" s="57">
        <f>IFERROR(INDEX(Entreprises!$B$2:$B$3000,MATCH(D228,Entreprises!$A$2:$A$3000,0)),"")</f>
        <v/>
      </c>
      <c r="F228" s="57" t="inlineStr">
        <is>
          <t>C007</t>
        </is>
      </c>
      <c r="G228" s="57">
        <f>IFERROR(INDEX(Contacts!$E$2:$E$3000,MATCH(F228,Contacts!$A$2:$A$3000,0)),"")</f>
        <v/>
      </c>
      <c r="H228" s="57" t="inlineStr">
        <is>
          <t>U002</t>
        </is>
      </c>
      <c r="I228" s="57">
        <f>IFERROR(INDEX(Commerciaux!$D$2:$D$3000,MATCH(H228,Commerciaux!$A$2:$A$3000,0)),"")</f>
        <v/>
      </c>
      <c r="J228" s="57" t="inlineStr">
        <is>
          <t>Point d'avancement projet</t>
        </is>
      </c>
      <c r="K228" s="40" t="inlineStr">
        <is>
          <t>Échange téléphonique avec Claire Fontaine sur le calendrier concernant les coffrets des éditions limitées 2027. Décision interne attendue dans les prochaines semaines.</t>
        </is>
      </c>
      <c r="L228" s="57" t="inlineStr">
        <is>
          <t>Neutre</t>
        </is>
      </c>
      <c r="M228" s="57" t="n"/>
      <c r="N228" s="57" t="inlineStr">
        <is>
          <t>Planifier une visite de site</t>
        </is>
      </c>
      <c r="O228" s="58" t="n">
        <v>46301</v>
      </c>
      <c r="P228" s="60" t="n">
        <v>15</v>
      </c>
      <c r="Q228" s="57" t="n"/>
    </row>
    <row r="229" ht="23.85" customHeight="1" s="34">
      <c r="A229" s="57" t="inlineStr">
        <is>
          <t>A0228</t>
        </is>
      </c>
      <c r="B229" s="58" t="n">
        <v>46286</v>
      </c>
      <c r="C229" s="57" t="inlineStr">
        <is>
          <t>E-mail</t>
        </is>
      </c>
      <c r="D229" s="57" t="inlineStr">
        <is>
          <t>E008</t>
        </is>
      </c>
      <c r="E229" s="57">
        <f>IFERROR(INDEX(Entreprises!$B$2:$B$3000,MATCH(D229,Entreprises!$A$2:$A$3000,0)),"")</f>
        <v/>
      </c>
      <c r="F229" s="57" t="inlineStr">
        <is>
          <t>C013</t>
        </is>
      </c>
      <c r="G229" s="57">
        <f>IFERROR(INDEX(Contacts!$E$2:$E$3000,MATCH(F229,Contacts!$A$2:$A$3000,0)),"")</f>
        <v/>
      </c>
      <c r="H229" s="57" t="inlineStr">
        <is>
          <t>U003</t>
        </is>
      </c>
      <c r="I229" s="57">
        <f>IFERROR(INDEX(Commerciaux!$D$2:$D$3000,MATCH(H229,Commerciaux!$A$2:$A$3000,0)),"")</f>
        <v/>
      </c>
      <c r="J229" s="57" t="inlineStr">
        <is>
          <t>Envoi du planning</t>
        </is>
      </c>
      <c r="K229" s="40" t="inlineStr">
        <is>
          <t>Envoi à Bastien Collet du planning prévisionnel et des points ouverts concernant la consultation sur les étuis allégés 2027.</t>
        </is>
      </c>
      <c r="L229" s="57" t="inlineStr">
        <is>
          <t>Neutre</t>
        </is>
      </c>
      <c r="M229" s="57" t="n"/>
      <c r="N229" s="57" t="n"/>
      <c r="O229" s="58" t="n"/>
      <c r="P229" s="60" t="n"/>
      <c r="Q229" s="57" t="n"/>
    </row>
    <row r="230" ht="23.85" customHeight="1" s="34">
      <c r="A230" s="57" t="inlineStr">
        <is>
          <t>A0229</t>
        </is>
      </c>
      <c r="B230" s="58" t="n">
        <v>46286</v>
      </c>
      <c r="C230" s="57" t="inlineStr">
        <is>
          <t>E-mail</t>
        </is>
      </c>
      <c r="D230" s="57" t="inlineStr">
        <is>
          <t>E025</t>
        </is>
      </c>
      <c r="E230" s="57">
        <f>IFERROR(INDEX(Entreprises!$B$2:$B$3000,MATCH(D230,Entreprises!$A$2:$A$3000,0)),"")</f>
        <v/>
      </c>
      <c r="F230" s="57" t="inlineStr">
        <is>
          <t>C040</t>
        </is>
      </c>
      <c r="G230" s="57">
        <f>IFERROR(INDEX(Contacts!$E$2:$E$3000,MATCH(F230,Contacts!$A$2:$A$3000,0)),"")</f>
        <v/>
      </c>
      <c r="H230" s="57" t="inlineStr">
        <is>
          <t>U007</t>
        </is>
      </c>
      <c r="I230" s="57">
        <f>IFERROR(INDEX(Commerciaux!$D$2:$D$3000,MATCH(H230,Commerciaux!$A$2:$A$3000,0)),"")</f>
        <v/>
      </c>
      <c r="J230" s="57" t="inlineStr">
        <is>
          <t>Envoi du compte rendu de visite</t>
        </is>
      </c>
      <c r="K230" s="40" t="inlineStr">
        <is>
          <t>Envoi à Frédéric Masson du compte rendu de la visite du 18/09/2026 et des prochaines étapes convenues.</t>
        </is>
      </c>
      <c r="L230" s="57" t="inlineStr">
        <is>
          <t>Neutre</t>
        </is>
      </c>
      <c r="M230" s="57" t="inlineStr">
        <is>
          <t>T039</t>
        </is>
      </c>
      <c r="N230" s="57" t="n"/>
      <c r="O230" s="58" t="n"/>
      <c r="P230" s="60" t="n"/>
      <c r="Q230" s="57" t="n"/>
    </row>
    <row r="231" ht="15" customHeight="1" s="34">
      <c r="A231" s="57" t="inlineStr">
        <is>
          <t>A0230</t>
        </is>
      </c>
      <c r="B231" s="58" t="n">
        <v>46286</v>
      </c>
      <c r="C231" s="57" t="inlineStr">
        <is>
          <t>Appel</t>
        </is>
      </c>
      <c r="D231" s="57" t="inlineStr">
        <is>
          <t>E029</t>
        </is>
      </c>
      <c r="E231" s="57">
        <f>IFERROR(INDEX(Entreprises!$B$2:$B$3000,MATCH(D231,Entreprises!$A$2:$A$3000,0)),"")</f>
        <v/>
      </c>
      <c r="F231" s="57" t="inlineStr">
        <is>
          <t>C048</t>
        </is>
      </c>
      <c r="G231" s="57">
        <f>IFERROR(INDEX(Contacts!$E$2:$E$3000,MATCH(F231,Contacts!$A$2:$A$3000,0)),"")</f>
        <v/>
      </c>
      <c r="H231" s="57" t="inlineStr">
        <is>
          <t>U007</t>
        </is>
      </c>
      <c r="I231" s="57">
        <f>IFERROR(INDEX(Commerciaux!$D$2:$D$3000,MATCH(H231,Commerciaux!$A$2:$A$3000,0)),"")</f>
        <v/>
      </c>
      <c r="J231" s="57" t="inlineStr">
        <is>
          <t>Relance et rendez-vous</t>
        </is>
      </c>
      <c r="K231" s="40" t="inlineStr">
        <is>
          <t>Vincent Brunet accepte un rendez-vous de découverte le 03/11 à Courbevoie.</t>
        </is>
      </c>
      <c r="L231" s="57" t="inlineStr">
        <is>
          <t>Positif</t>
        </is>
      </c>
      <c r="M231" s="57" t="inlineStr">
        <is>
          <t>T045</t>
        </is>
      </c>
      <c r="N231" s="57" t="n"/>
      <c r="O231" s="58" t="n"/>
      <c r="P231" s="60" t="n">
        <v>15</v>
      </c>
      <c r="Q231" s="57" t="n"/>
    </row>
    <row r="232" ht="23.85" customHeight="1" s="34">
      <c r="A232" s="57" t="inlineStr">
        <is>
          <t>A0231</t>
        </is>
      </c>
      <c r="B232" s="58" t="n">
        <v>46287</v>
      </c>
      <c r="C232" s="57" t="inlineStr">
        <is>
          <t>E-mail</t>
        </is>
      </c>
      <c r="D232" s="57" t="inlineStr">
        <is>
          <t>E002</t>
        </is>
      </c>
      <c r="E232" s="57">
        <f>IFERROR(INDEX(Entreprises!$B$2:$B$3000,MATCH(D232,Entreprises!$A$2:$A$3000,0)),"")</f>
        <v/>
      </c>
      <c r="F232" s="57" t="inlineStr">
        <is>
          <t>C004</t>
        </is>
      </c>
      <c r="G232" s="57">
        <f>IFERROR(INDEX(Contacts!$E$2:$E$3000,MATCH(F232,Contacts!$A$2:$A$3000,0)),"")</f>
        <v/>
      </c>
      <c r="H232" s="57" t="inlineStr">
        <is>
          <t>U002</t>
        </is>
      </c>
      <c r="I232" s="57">
        <f>IFERROR(INDEX(Commerciaux!$D$2:$D$3000,MATCH(H232,Commerciaux!$A$2:$A$3000,0)),"")</f>
        <v/>
      </c>
      <c r="J232" s="57" t="inlineStr">
        <is>
          <t>Documentation EC-200</t>
        </is>
      </c>
      <c r="K232" s="40" t="inlineStr">
        <is>
          <t>Envoi à Philippe Delattre de la documentation de l'encartonneuse EC-200 et d'une référence client dans l'agroalimentaire.</t>
        </is>
      </c>
      <c r="L232" s="57" t="inlineStr">
        <is>
          <t>Neutre</t>
        </is>
      </c>
      <c r="M232" s="57" t="inlineStr">
        <is>
          <t>T004</t>
        </is>
      </c>
      <c r="N232" s="57" t="n"/>
      <c r="O232" s="58" t="n"/>
      <c r="P232" s="60" t="n"/>
      <c r="Q232" s="57" t="n"/>
    </row>
    <row r="233" ht="23.85" customHeight="1" s="34">
      <c r="A233" s="57" t="inlineStr">
        <is>
          <t>A0232</t>
        </is>
      </c>
      <c r="B233" s="58" t="n">
        <v>46287</v>
      </c>
      <c r="C233" s="57" t="inlineStr">
        <is>
          <t>Appel</t>
        </is>
      </c>
      <c r="D233" s="57" t="inlineStr">
        <is>
          <t>E013</t>
        </is>
      </c>
      <c r="E233" s="57">
        <f>IFERROR(INDEX(Entreprises!$B$2:$B$3000,MATCH(D233,Entreprises!$A$2:$A$3000,0)),"")</f>
        <v/>
      </c>
      <c r="F233" s="57" t="inlineStr">
        <is>
          <t>C021</t>
        </is>
      </c>
      <c r="G233" s="57">
        <f>IFERROR(INDEX(Contacts!$E$2:$E$3000,MATCH(F233,Contacts!$A$2:$A$3000,0)),"")</f>
        <v/>
      </c>
      <c r="H233" s="57" t="inlineStr">
        <is>
          <t>U004</t>
        </is>
      </c>
      <c r="I233" s="57">
        <f>IFERROR(INDEX(Commerciaux!$D$2:$D$3000,MATCH(H233,Commerciaux!$A$2:$A$3000,0)),"")</f>
        <v/>
      </c>
      <c r="J233" s="57" t="inlineStr">
        <is>
          <t>Relance proposition</t>
        </is>
      </c>
      <c r="K233" s="40" t="inlineStr">
        <is>
          <t>Appel de relance sur la dernière proposition. Christine Blanc demande quelques jours pour consolider les retours internes.</t>
        </is>
      </c>
      <c r="L233" s="57" t="inlineStr">
        <is>
          <t>Positif</t>
        </is>
      </c>
      <c r="M233" s="57" t="n"/>
      <c r="N233" s="57" t="inlineStr">
        <is>
          <t>Transmettre des échantillons</t>
        </is>
      </c>
      <c r="O233" s="58" t="n">
        <v>46307</v>
      </c>
      <c r="P233" s="60" t="n">
        <v>5</v>
      </c>
      <c r="Q233" s="57" t="n"/>
    </row>
    <row r="234" ht="23.85" customHeight="1" s="34">
      <c r="A234" s="57" t="inlineStr">
        <is>
          <t>A0233</t>
        </is>
      </c>
      <c r="B234" s="58" t="n">
        <v>46287</v>
      </c>
      <c r="C234" s="57" t="inlineStr">
        <is>
          <t>Visite terrain</t>
        </is>
      </c>
      <c r="D234" s="57" t="inlineStr">
        <is>
          <t>E014</t>
        </is>
      </c>
      <c r="E234" s="57">
        <f>IFERROR(INDEX(Entreprises!$B$2:$B$3000,MATCH(D234,Entreprises!$A$2:$A$3000,0)),"")</f>
        <v/>
      </c>
      <c r="F234" s="57" t="inlineStr">
        <is>
          <t>C023</t>
        </is>
      </c>
      <c r="G234" s="57">
        <f>IFERROR(INDEX(Contacts!$E$2:$E$3000,MATCH(F234,Contacts!$A$2:$A$3000,0)),"")</f>
        <v/>
      </c>
      <c r="H234" s="57" t="inlineStr">
        <is>
          <t>U004</t>
        </is>
      </c>
      <c r="I234" s="57">
        <f>IFERROR(INDEX(Commerciaux!$D$2:$D$3000,MATCH(H234,Commerciaux!$A$2:$A$3000,0)),"")</f>
        <v/>
      </c>
      <c r="J234" s="57" t="inlineStr">
        <is>
          <t>Compte rendu de visite</t>
        </is>
      </c>
      <c r="K234" s="40" t="inlineStr">
        <is>
          <t>Atelier avec Émilie Gauthier et Laurent Mercier sur la suppression du polystyrène. Deux prototypes de calage carton validés en tests de chute. Industrialisation prévue au premier trimestre 2027.</t>
        </is>
      </c>
      <c r="L234" s="57" t="inlineStr">
        <is>
          <t>Positif</t>
        </is>
      </c>
      <c r="M234" s="57" t="inlineStr">
        <is>
          <t>T023</t>
        </is>
      </c>
      <c r="N234" s="57" t="inlineStr">
        <is>
          <t>Envoyer le devis d'industrialisation et le planning</t>
        </is>
      </c>
      <c r="O234" s="58" t="n">
        <v>46297</v>
      </c>
      <c r="P234" s="60" t="n">
        <v>105</v>
      </c>
      <c r="Q234" s="57" t="inlineStr">
        <is>
          <t>Laurent Mercier</t>
        </is>
      </c>
    </row>
    <row r="235" ht="35.05" customHeight="1" s="34">
      <c r="A235" s="57" t="inlineStr">
        <is>
          <t>A0234</t>
        </is>
      </c>
      <c r="B235" s="58" t="n">
        <v>46288</v>
      </c>
      <c r="C235" s="57" t="inlineStr">
        <is>
          <t>Visite terrain</t>
        </is>
      </c>
      <c r="D235" s="57" t="inlineStr">
        <is>
          <t>E021</t>
        </is>
      </c>
      <c r="E235" s="57">
        <f>IFERROR(INDEX(Entreprises!$B$2:$B$3000,MATCH(D235,Entreprises!$A$2:$A$3000,0)),"")</f>
        <v/>
      </c>
      <c r="F235" s="57" t="inlineStr">
        <is>
          <t>C033</t>
        </is>
      </c>
      <c r="G235" s="57">
        <f>IFERROR(INDEX(Contacts!$E$2:$E$3000,MATCH(F235,Contacts!$A$2:$A$3000,0)),"")</f>
        <v/>
      </c>
      <c r="H235" s="57" t="inlineStr">
        <is>
          <t>U005</t>
        </is>
      </c>
      <c r="I235" s="57">
        <f>IFERROR(INDEX(Commerciaux!$D$2:$D$3000,MATCH(H235,Commerciaux!$A$2:$A$3000,0)),"")</f>
        <v/>
      </c>
      <c r="J235" s="57" t="inlineStr">
        <is>
          <t>Compte rendu de visite</t>
        </is>
      </c>
      <c r="K235" s="40" t="inlineStr">
        <is>
          <t>Comité technique à Poitiers avec Valérie Dumas et Thierry Lacroix. Les essais d'emballages éco-conçus sont concluants sur la première usine. Le déploiement sur deux autres usines sera décidé en comité fin octobre.</t>
        </is>
      </c>
      <c r="L235" s="57" t="inlineStr">
        <is>
          <t>Positif</t>
        </is>
      </c>
      <c r="M235" s="57" t="inlineStr">
        <is>
          <t>T032</t>
        </is>
      </c>
      <c r="N235" s="57" t="inlineStr">
        <is>
          <t>Préparer le dossier du comité de décision</t>
        </is>
      </c>
      <c r="O235" s="58" t="n">
        <v>46315</v>
      </c>
      <c r="P235" s="60" t="n">
        <v>90</v>
      </c>
      <c r="Q235" s="57" t="inlineStr">
        <is>
          <t>Thierry Lacroix</t>
        </is>
      </c>
    </row>
    <row r="236" ht="35.05" customHeight="1" s="34">
      <c r="A236" s="57" t="inlineStr">
        <is>
          <t>A0235</t>
        </is>
      </c>
      <c r="B236" s="58" t="n">
        <v>46289</v>
      </c>
      <c r="C236" s="57" t="inlineStr">
        <is>
          <t>Appel</t>
        </is>
      </c>
      <c r="D236" s="57" t="inlineStr">
        <is>
          <t>E001</t>
        </is>
      </c>
      <c r="E236" s="57">
        <f>IFERROR(INDEX(Entreprises!$B$2:$B$3000,MATCH(D236,Entreprises!$A$2:$A$3000,0)),"")</f>
        <v/>
      </c>
      <c r="F236" s="57" t="inlineStr">
        <is>
          <t>C001</t>
        </is>
      </c>
      <c r="G236" s="57">
        <f>IFERROR(INDEX(Contacts!$E$2:$E$3000,MATCH(F236,Contacts!$A$2:$A$3000,0)),"")</f>
        <v/>
      </c>
      <c r="H236" s="57" t="inlineStr">
        <is>
          <t>U002</t>
        </is>
      </c>
      <c r="I236" s="57">
        <f>IFERROR(INDEX(Commerciaux!$D$2:$D$3000,MATCH(H236,Commerciaux!$A$2:$A$3000,0)),"")</f>
        <v/>
      </c>
      <c r="J236" s="57" t="inlineStr">
        <is>
          <t>Retard de livraison étiquettes</t>
        </is>
      </c>
      <c r="K236" s="40" t="inlineStr">
        <is>
          <t>Appel de Nathalie Dubreuil, mécontente : la livraison d'étiquettes prévue le 15/09 est arrivée le 24/09, ce qui a obligé le site à décaler une production. Ticket SAV ouvert. Elle rappelle que la ponctualité pèsera dans la décision de renouvellement.</t>
        </is>
      </c>
      <c r="L236" s="57" t="inlineStr">
        <is>
          <t>Négatif</t>
        </is>
      </c>
      <c r="M236" s="57" t="inlineStr">
        <is>
          <t>T001</t>
        </is>
      </c>
      <c r="N236" s="57" t="inlineStr">
        <is>
          <t>Proposer un plan de sécurisation des délais</t>
        </is>
      </c>
      <c r="O236" s="58" t="n">
        <v>46307</v>
      </c>
      <c r="P236" s="60" t="n">
        <v>20</v>
      </c>
      <c r="Q236" s="57" t="n"/>
    </row>
    <row r="237" ht="35.05" customHeight="1" s="34">
      <c r="A237" s="57" t="inlineStr">
        <is>
          <t>A0236</t>
        </is>
      </c>
      <c r="B237" s="58" t="n">
        <v>46289</v>
      </c>
      <c r="C237" s="57" t="inlineStr">
        <is>
          <t>Visite terrain</t>
        </is>
      </c>
      <c r="D237" s="57" t="inlineStr">
        <is>
          <t>E005</t>
        </is>
      </c>
      <c r="E237" s="57">
        <f>IFERROR(INDEX(Entreprises!$B$2:$B$3000,MATCH(D237,Entreprises!$A$2:$A$3000,0)),"")</f>
        <v/>
      </c>
      <c r="F237" s="57" t="inlineStr">
        <is>
          <t>C009</t>
        </is>
      </c>
      <c r="G237" s="57">
        <f>IFERROR(INDEX(Contacts!$E$2:$E$3000,MATCH(F237,Contacts!$A$2:$A$3000,0)),"")</f>
        <v/>
      </c>
      <c r="H237" s="57" t="inlineStr">
        <is>
          <t>U002</t>
        </is>
      </c>
      <c r="I237" s="57">
        <f>IFERROR(INDEX(Commerciaux!$D$2:$D$3000,MATCH(H237,Commerciaux!$A$2:$A$3000,0)),"")</f>
        <v/>
      </c>
      <c r="J237" s="57" t="inlineStr">
        <is>
          <t>Compte rendu de visite</t>
        </is>
      </c>
      <c r="K237" s="40" t="inlineStr">
        <is>
          <t>Visite à Neuilly avec Léa Moreau. Clarins souhaite un second fournisseur d'étuis pour réduire sa dépendance. Points clés : certification des fibres, capacité de production en pic, prix cible inférieur d'environ 5 % au fournisseur actuel. Échantillons demandés pour mi-octobre.</t>
        </is>
      </c>
      <c r="L237" s="57" t="inlineStr">
        <is>
          <t>Positif</t>
        </is>
      </c>
      <c r="M237" s="57" t="inlineStr">
        <is>
          <t>T010</t>
        </is>
      </c>
      <c r="N237" s="57" t="inlineStr">
        <is>
          <t>Envoyer les échantillons et la fiche RSE</t>
        </is>
      </c>
      <c r="O237" s="58" t="n">
        <v>46309</v>
      </c>
      <c r="P237" s="60" t="n">
        <v>120</v>
      </c>
      <c r="Q237" s="57" t="n"/>
    </row>
    <row r="238" ht="23.85" customHeight="1" s="34">
      <c r="A238" s="57" t="inlineStr">
        <is>
          <t>A0237</t>
        </is>
      </c>
      <c r="B238" s="58" t="n">
        <v>46289</v>
      </c>
      <c r="C238" s="57" t="inlineStr">
        <is>
          <t>E-mail</t>
        </is>
      </c>
      <c r="D238" s="57" t="inlineStr">
        <is>
          <t>E014</t>
        </is>
      </c>
      <c r="E238" s="57">
        <f>IFERROR(INDEX(Entreprises!$B$2:$B$3000,MATCH(D238,Entreprises!$A$2:$A$3000,0)),"")</f>
        <v/>
      </c>
      <c r="F238" s="57" t="inlineStr">
        <is>
          <t>C023</t>
        </is>
      </c>
      <c r="G238" s="57">
        <f>IFERROR(INDEX(Contacts!$E$2:$E$3000,MATCH(F238,Contacts!$A$2:$A$3000,0)),"")</f>
        <v/>
      </c>
      <c r="H238" s="57" t="inlineStr">
        <is>
          <t>U004</t>
        </is>
      </c>
      <c r="I238" s="57">
        <f>IFERROR(INDEX(Commerciaux!$D$2:$D$3000,MATCH(H238,Commerciaux!$A$2:$A$3000,0)),"")</f>
        <v/>
      </c>
      <c r="J238" s="57" t="inlineStr">
        <is>
          <t>Envoi du compte rendu de visite</t>
        </is>
      </c>
      <c r="K238" s="40" t="inlineStr">
        <is>
          <t>Envoi à Émilie Gauthier du compte rendu de la visite du 22/09/2026 et des prochaines étapes convenues.</t>
        </is>
      </c>
      <c r="L238" s="57" t="inlineStr">
        <is>
          <t>Neutre</t>
        </is>
      </c>
      <c r="M238" s="57" t="inlineStr">
        <is>
          <t>T023</t>
        </is>
      </c>
      <c r="N238" s="57" t="n"/>
      <c r="O238" s="58" t="n"/>
      <c r="P238" s="60" t="n"/>
      <c r="Q238" s="57" t="n"/>
    </row>
    <row r="239" ht="15" customHeight="1" s="34">
      <c r="A239" s="57" t="inlineStr">
        <is>
          <t>A0238</t>
        </is>
      </c>
      <c r="B239" s="58" t="n">
        <v>46290</v>
      </c>
      <c r="C239" s="57" t="inlineStr">
        <is>
          <t>Appel</t>
        </is>
      </c>
      <c r="D239" s="57" t="inlineStr">
        <is>
          <t>E006</t>
        </is>
      </c>
      <c r="E239" s="57">
        <f>IFERROR(INDEX(Entreprises!$B$2:$B$3000,MATCH(D239,Entreprises!$A$2:$A$3000,0)),"")</f>
        <v/>
      </c>
      <c r="F239" s="57" t="inlineStr">
        <is>
          <t>C010</t>
        </is>
      </c>
      <c r="G239" s="57">
        <f>IFERROR(INDEX(Contacts!$E$2:$E$3000,MATCH(F239,Contacts!$A$2:$A$3000,0)),"")</f>
        <v/>
      </c>
      <c r="H239" s="57" t="inlineStr">
        <is>
          <t>U002</t>
        </is>
      </c>
      <c r="I239" s="57">
        <f>IFERROR(INDEX(Commerciaux!$D$2:$D$3000,MATCH(H239,Commerciaux!$A$2:$A$3000,0)),"")</f>
        <v/>
      </c>
      <c r="J239" s="57" t="inlineStr">
        <is>
          <t>Fixation du rendez-vous</t>
        </is>
      </c>
      <c r="K239" s="40" t="inlineStr">
        <is>
          <t>Rendez-vous fixé au 27/10 à Paris. Rachid Bensaïd invitera un acheteur si le besoin se confirme.</t>
        </is>
      </c>
      <c r="L239" s="57" t="inlineStr">
        <is>
          <t>Positif</t>
        </is>
      </c>
      <c r="M239" s="57" t="inlineStr">
        <is>
          <t>T011</t>
        </is>
      </c>
      <c r="N239" s="57" t="n"/>
      <c r="O239" s="58" t="n"/>
      <c r="P239" s="60" t="n">
        <v>10</v>
      </c>
      <c r="Q239" s="57" t="n"/>
    </row>
    <row r="240" ht="23.85" customHeight="1" s="34">
      <c r="A240" s="57" t="inlineStr">
        <is>
          <t>A0239</t>
        </is>
      </c>
      <c r="B240" s="58" t="n">
        <v>46290</v>
      </c>
      <c r="C240" s="57" t="inlineStr">
        <is>
          <t>Appel</t>
        </is>
      </c>
      <c r="D240" s="57" t="inlineStr">
        <is>
          <t>E012</t>
        </is>
      </c>
      <c r="E240" s="57">
        <f>IFERROR(INDEX(Entreprises!$B$2:$B$3000,MATCH(D240,Entreprises!$A$2:$A$3000,0)),"")</f>
        <v/>
      </c>
      <c r="F240" s="57" t="inlineStr">
        <is>
          <t>C020</t>
        </is>
      </c>
      <c r="G240" s="57">
        <f>IFERROR(INDEX(Contacts!$E$2:$E$3000,MATCH(F240,Contacts!$A$2:$A$3000,0)),"")</f>
        <v/>
      </c>
      <c r="H240" s="57" t="inlineStr">
        <is>
          <t>U004</t>
        </is>
      </c>
      <c r="I240" s="57">
        <f>IFERROR(INDEX(Commerciaux!$D$2:$D$3000,MATCH(H240,Commerciaux!$A$2:$A$3000,0)),"")</f>
        <v/>
      </c>
      <c r="J240" s="57" t="inlineStr">
        <is>
          <t>Point d'avancement projet</t>
        </is>
      </c>
      <c r="K240" s="40" t="inlineStr">
        <is>
          <t>Échange téléphonique avec Mathieu Faure sur le calendrier concernant la sérialisation des kits de diagnostic pour l'export. Décision interne attendue dans les prochaines semaines.</t>
        </is>
      </c>
      <c r="L240" s="57" t="inlineStr">
        <is>
          <t>Positif</t>
        </is>
      </c>
      <c r="M240" s="57" t="n"/>
      <c r="N240" s="57" t="n"/>
      <c r="O240" s="58" t="n"/>
      <c r="P240" s="60" t="n">
        <v>10</v>
      </c>
      <c r="Q240" s="57" t="n"/>
    </row>
    <row r="241" ht="15" customHeight="1" s="34">
      <c r="A241" s="57" t="inlineStr">
        <is>
          <t>A0240</t>
        </is>
      </c>
      <c r="B241" s="58" t="n">
        <v>46290</v>
      </c>
      <c r="C241" s="57" t="inlineStr">
        <is>
          <t>Réunion visio</t>
        </is>
      </c>
      <c r="D241" s="57" t="inlineStr">
        <is>
          <t>E027</t>
        </is>
      </c>
      <c r="E241" s="57">
        <f>IFERROR(INDEX(Entreprises!$B$2:$B$3000,MATCH(D241,Entreprises!$A$2:$A$3000,0)),"")</f>
        <v/>
      </c>
      <c r="F241" s="57" t="inlineStr">
        <is>
          <t>C045</t>
        </is>
      </c>
      <c r="G241" s="57">
        <f>IFERROR(INDEX(Contacts!$E$2:$E$3000,MATCH(F241,Contacts!$A$2:$A$3000,0)),"")</f>
        <v/>
      </c>
      <c r="H241" s="57" t="inlineStr">
        <is>
          <t>U007</t>
        </is>
      </c>
      <c r="I241" s="57">
        <f>IFERROR(INDEX(Commerciaux!$D$2:$D$3000,MATCH(H241,Commerciaux!$A$2:$A$3000,0)),"")</f>
        <v/>
      </c>
      <c r="J241" s="57" t="inlineStr">
        <is>
          <t>Revue des prévisions</t>
        </is>
      </c>
      <c r="K241" s="40" t="inlineStr">
        <is>
          <t>Visio de revue des prévisions de volumes avec Alexandre Colin et la supply chain du client.</t>
        </is>
      </c>
      <c r="L241" s="57" t="inlineStr">
        <is>
          <t>Positif</t>
        </is>
      </c>
      <c r="M241" s="57" t="inlineStr">
        <is>
          <t>T042</t>
        </is>
      </c>
      <c r="N241" s="57" t="n"/>
      <c r="O241" s="58" t="n"/>
      <c r="P241" s="60" t="n">
        <v>45</v>
      </c>
      <c r="Q241" s="57" t="n"/>
    </row>
    <row r="242" ht="35.05" customHeight="1" s="34">
      <c r="A242" s="57" t="inlineStr">
        <is>
          <t>A0241</t>
        </is>
      </c>
      <c r="B242" s="58" t="n">
        <v>46290</v>
      </c>
      <c r="C242" s="57" t="inlineStr">
        <is>
          <t>Visite terrain</t>
        </is>
      </c>
      <c r="D242" s="57" t="inlineStr">
        <is>
          <t>E030</t>
        </is>
      </c>
      <c r="E242" s="57">
        <f>IFERROR(INDEX(Entreprises!$B$2:$B$3000,MATCH(D242,Entreprises!$A$2:$A$3000,0)),"")</f>
        <v/>
      </c>
      <c r="F242" s="57" t="inlineStr">
        <is>
          <t>C049</t>
        </is>
      </c>
      <c r="G242" s="57">
        <f>IFERROR(INDEX(Contacts!$E$2:$E$3000,MATCH(F242,Contacts!$A$2:$A$3000,0)),"")</f>
        <v/>
      </c>
      <c r="H242" s="57" t="inlineStr">
        <is>
          <t>U007</t>
        </is>
      </c>
      <c r="I242" s="57">
        <f>IFERROR(INDEX(Commerciaux!$D$2:$D$3000,MATCH(H242,Commerciaux!$A$2:$A$3000,0)),"")</f>
        <v/>
      </c>
      <c r="J242" s="57" t="inlineStr">
        <is>
          <t>Compte rendu de visite</t>
        </is>
      </c>
      <c r="K242" s="40" t="inlineStr">
        <is>
          <t>Visite avec Nadia Haddad et Pierre-Yves Guérin. Le projet d'emballages sans plastique pour la distribution électrique entre en phase de sélection ; deux fournisseurs restent en lice. Pierre-Yves Guérin valide nos tests de résistance.</t>
        </is>
      </c>
      <c r="L242" s="57" t="inlineStr">
        <is>
          <t>Positif</t>
        </is>
      </c>
      <c r="M242" s="57" t="inlineStr">
        <is>
          <t>T046</t>
        </is>
      </c>
      <c r="N242" s="57" t="inlineStr">
        <is>
          <t>Préparer le comité de sélection de fin octobre</t>
        </is>
      </c>
      <c r="O242" s="58" t="n">
        <v>46325</v>
      </c>
      <c r="P242" s="60" t="n">
        <v>105</v>
      </c>
      <c r="Q242" s="57" t="inlineStr">
        <is>
          <t>Pierre-Yves Guérin</t>
        </is>
      </c>
    </row>
    <row r="243" ht="23.85" customHeight="1" s="34">
      <c r="A243" s="57" t="inlineStr">
        <is>
          <t>A0242</t>
        </is>
      </c>
      <c r="B243" s="58" t="n">
        <v>46293</v>
      </c>
      <c r="C243" s="57" t="inlineStr">
        <is>
          <t>E-mail</t>
        </is>
      </c>
      <c r="D243" s="57" t="inlineStr">
        <is>
          <t>E005</t>
        </is>
      </c>
      <c r="E243" s="57">
        <f>IFERROR(INDEX(Entreprises!$B$2:$B$3000,MATCH(D243,Entreprises!$A$2:$A$3000,0)),"")</f>
        <v/>
      </c>
      <c r="F243" s="57" t="inlineStr">
        <is>
          <t>C009</t>
        </is>
      </c>
      <c r="G243" s="57">
        <f>IFERROR(INDEX(Contacts!$E$2:$E$3000,MATCH(F243,Contacts!$A$2:$A$3000,0)),"")</f>
        <v/>
      </c>
      <c r="H243" s="57" t="inlineStr">
        <is>
          <t>U002</t>
        </is>
      </c>
      <c r="I243" s="57">
        <f>IFERROR(INDEX(Commerciaux!$D$2:$D$3000,MATCH(H243,Commerciaux!$A$2:$A$3000,0)),"")</f>
        <v/>
      </c>
      <c r="J243" s="57" t="inlineStr">
        <is>
          <t>Envoi du compte rendu de visite</t>
        </is>
      </c>
      <c r="K243" s="40" t="inlineStr">
        <is>
          <t>Envoi à Léa Moreau du compte rendu de la visite du 24/09/2026 et des prochaines étapes convenues.</t>
        </is>
      </c>
      <c r="L243" s="57" t="inlineStr">
        <is>
          <t>Neutre</t>
        </is>
      </c>
      <c r="M243" s="57" t="inlineStr">
        <is>
          <t>T010</t>
        </is>
      </c>
      <c r="N243" s="57" t="n"/>
      <c r="O243" s="58" t="n"/>
      <c r="P243" s="60" t="n"/>
      <c r="Q243" s="57" t="n"/>
    </row>
    <row r="244" ht="23.85" customHeight="1" s="34">
      <c r="A244" s="57" t="inlineStr">
        <is>
          <t>A0243</t>
        </is>
      </c>
      <c r="B244" s="58" t="n">
        <v>46293</v>
      </c>
      <c r="C244" s="57" t="inlineStr">
        <is>
          <t>E-mail</t>
        </is>
      </c>
      <c r="D244" s="57" t="inlineStr">
        <is>
          <t>E021</t>
        </is>
      </c>
      <c r="E244" s="57">
        <f>IFERROR(INDEX(Entreprises!$B$2:$B$3000,MATCH(D244,Entreprises!$A$2:$A$3000,0)),"")</f>
        <v/>
      </c>
      <c r="F244" s="57" t="inlineStr">
        <is>
          <t>C033</t>
        </is>
      </c>
      <c r="G244" s="57">
        <f>IFERROR(INDEX(Contacts!$E$2:$E$3000,MATCH(F244,Contacts!$A$2:$A$3000,0)),"")</f>
        <v/>
      </c>
      <c r="H244" s="57" t="inlineStr">
        <is>
          <t>U005</t>
        </is>
      </c>
      <c r="I244" s="57">
        <f>IFERROR(INDEX(Commerciaux!$D$2:$D$3000,MATCH(H244,Commerciaux!$A$2:$A$3000,0)),"")</f>
        <v/>
      </c>
      <c r="J244" s="57" t="inlineStr">
        <is>
          <t>Envoi du compte rendu de visite</t>
        </is>
      </c>
      <c r="K244" s="40" t="inlineStr">
        <is>
          <t>Envoi à Valérie Dumas du compte rendu de la visite du 23/09/2026 et des prochaines étapes convenues.</t>
        </is>
      </c>
      <c r="L244" s="57" t="inlineStr">
        <is>
          <t>Neutre</t>
        </is>
      </c>
      <c r="M244" s="57" t="inlineStr">
        <is>
          <t>T032</t>
        </is>
      </c>
      <c r="N244" s="57" t="n"/>
      <c r="O244" s="58" t="n"/>
      <c r="P244" s="60" t="n"/>
      <c r="Q244" s="57" t="n"/>
    </row>
    <row r="245" ht="23.85" customHeight="1" s="34">
      <c r="A245" s="57" t="inlineStr">
        <is>
          <t>A0244</t>
        </is>
      </c>
      <c r="B245" s="58" t="n">
        <v>46293</v>
      </c>
      <c r="C245" s="57" t="inlineStr">
        <is>
          <t>Appel</t>
        </is>
      </c>
      <c r="D245" s="57" t="inlineStr">
        <is>
          <t>E025</t>
        </is>
      </c>
      <c r="E245" s="57">
        <f>IFERROR(INDEX(Entreprises!$B$2:$B$3000,MATCH(D245,Entreprises!$A$2:$A$3000,0)),"")</f>
        <v/>
      </c>
      <c r="F245" s="57" t="inlineStr">
        <is>
          <t>C041</t>
        </is>
      </c>
      <c r="G245" s="57">
        <f>IFERROR(INDEX(Contacts!$E$2:$E$3000,MATCH(F245,Contacts!$A$2:$A$3000,0)),"")</f>
        <v/>
      </c>
      <c r="H245" s="57" t="inlineStr">
        <is>
          <t>U007</t>
        </is>
      </c>
      <c r="I245" s="57">
        <f>IFERROR(INDEX(Commerciaux!$D$2:$D$3000,MATCH(H245,Commerciaux!$A$2:$A$3000,0)),"")</f>
        <v/>
      </c>
      <c r="J245" s="57" t="inlineStr">
        <is>
          <t>Point d'avancement projet</t>
        </is>
      </c>
      <c r="K245" s="40" t="inlineStr">
        <is>
          <t>Échange téléphonique avec Manon Leclerc sur le calendrier concernant le programme d'éco-conception des coffrets. Décision interne attendue dans les prochaines semaines.</t>
        </is>
      </c>
      <c r="L245" s="57" t="inlineStr">
        <is>
          <t>Neutre</t>
        </is>
      </c>
      <c r="M245" s="57" t="n"/>
      <c r="N245" s="57" t="n"/>
      <c r="O245" s="58" t="n"/>
      <c r="P245" s="60" t="n">
        <v>30</v>
      </c>
      <c r="Q245" s="57" t="n"/>
    </row>
    <row r="246" ht="23.85" customHeight="1" s="34">
      <c r="A246" s="57" t="inlineStr">
        <is>
          <t>A0245</t>
        </is>
      </c>
      <c r="B246" s="58" t="n">
        <v>46293</v>
      </c>
      <c r="C246" s="57" t="inlineStr">
        <is>
          <t>E-mail</t>
        </is>
      </c>
      <c r="D246" s="57" t="inlineStr">
        <is>
          <t>E030</t>
        </is>
      </c>
      <c r="E246" s="57">
        <f>IFERROR(INDEX(Entreprises!$B$2:$B$3000,MATCH(D246,Entreprises!$A$2:$A$3000,0)),"")</f>
        <v/>
      </c>
      <c r="F246" s="57" t="inlineStr">
        <is>
          <t>C049</t>
        </is>
      </c>
      <c r="G246" s="57">
        <f>IFERROR(INDEX(Contacts!$E$2:$E$3000,MATCH(F246,Contacts!$A$2:$A$3000,0)),"")</f>
        <v/>
      </c>
      <c r="H246" s="57" t="inlineStr">
        <is>
          <t>U007</t>
        </is>
      </c>
      <c r="I246" s="57">
        <f>IFERROR(INDEX(Commerciaux!$D$2:$D$3000,MATCH(H246,Commerciaux!$A$2:$A$3000,0)),"")</f>
        <v/>
      </c>
      <c r="J246" s="57" t="inlineStr">
        <is>
          <t>Envoi du compte rendu de visite</t>
        </is>
      </c>
      <c r="K246" s="40" t="inlineStr">
        <is>
          <t>Envoi à Nadia Haddad du compte rendu de la visite du 25/09/2026 et des prochaines étapes convenues.</t>
        </is>
      </c>
      <c r="L246" s="57" t="inlineStr">
        <is>
          <t>Neutre</t>
        </is>
      </c>
      <c r="M246" s="57" t="inlineStr">
        <is>
          <t>T046</t>
        </is>
      </c>
      <c r="N246" s="57" t="n"/>
      <c r="O246" s="58" t="n"/>
      <c r="P246" s="60" t="n"/>
      <c r="Q246" s="57" t="n"/>
    </row>
    <row r="247" ht="23.85" customHeight="1" s="34">
      <c r="A247" s="57" t="inlineStr">
        <is>
          <t>A0246</t>
        </is>
      </c>
      <c r="B247" s="58" t="n">
        <v>46294</v>
      </c>
      <c r="C247" s="57" t="inlineStr">
        <is>
          <t>E-mail</t>
        </is>
      </c>
      <c r="D247" s="57" t="inlineStr">
        <is>
          <t>E001</t>
        </is>
      </c>
      <c r="E247" s="57">
        <f>IFERROR(INDEX(Entreprises!$B$2:$B$3000,MATCH(D247,Entreprises!$A$2:$A$3000,0)),"")</f>
        <v/>
      </c>
      <c r="F247" s="57" t="inlineStr">
        <is>
          <t>C001</t>
        </is>
      </c>
      <c r="G247" s="57">
        <f>IFERROR(INDEX(Contacts!$E$2:$E$3000,MATCH(F247,Contacts!$A$2:$A$3000,0)),"")</f>
        <v/>
      </c>
      <c r="H247" s="57" t="inlineStr">
        <is>
          <t>U002</t>
        </is>
      </c>
      <c r="I247" s="57">
        <f>IFERROR(INDEX(Commerciaux!$D$2:$D$3000,MATCH(H247,Commerciaux!$A$2:$A$3000,0)),"")</f>
        <v/>
      </c>
      <c r="J247" s="57" t="inlineStr">
        <is>
          <t>Envoi de la proposition de renouvellement</t>
        </is>
      </c>
      <c r="K247" s="40" t="inlineStr">
        <is>
          <t>Envoi de la proposition de renouvellement de l'accord-cadre étiquettes 2027 : 186 000 € annuels, indexation papier plafonnée à 4 %, engagement de livraison sous 10 jours ouvrés.</t>
        </is>
      </c>
      <c r="L247" s="57" t="inlineStr">
        <is>
          <t>Neutre</t>
        </is>
      </c>
      <c r="M247" s="57" t="inlineStr">
        <is>
          <t>T001</t>
        </is>
      </c>
      <c r="N247" s="57" t="inlineStr">
        <is>
          <t>Relancer pour fixer la revue de la proposition</t>
        </is>
      </c>
      <c r="O247" s="58" t="n">
        <v>46300</v>
      </c>
      <c r="P247" s="60" t="n"/>
      <c r="Q247" s="57" t="n"/>
    </row>
    <row r="248" ht="23.85" customHeight="1" s="34">
      <c r="A248" s="57" t="inlineStr">
        <is>
          <t>A0247</t>
        </is>
      </c>
      <c r="B248" s="58" t="n">
        <v>46294</v>
      </c>
      <c r="C248" s="57" t="inlineStr">
        <is>
          <t>Visite terrain</t>
        </is>
      </c>
      <c r="D248" s="57" t="inlineStr">
        <is>
          <t>E010</t>
        </is>
      </c>
      <c r="E248" s="57">
        <f>IFERROR(INDEX(Entreprises!$B$2:$B$3000,MATCH(D248,Entreprises!$A$2:$A$3000,0)),"")</f>
        <v/>
      </c>
      <c r="F248" s="57" t="inlineStr">
        <is>
          <t>C016</t>
        </is>
      </c>
      <c r="G248" s="57">
        <f>IFERROR(INDEX(Contacts!$E$2:$E$3000,MATCH(F248,Contacts!$A$2:$A$3000,0)),"")</f>
        <v/>
      </c>
      <c r="H248" s="57" t="inlineStr">
        <is>
          <t>U003</t>
        </is>
      </c>
      <c r="I248" s="57">
        <f>IFERROR(INDEX(Commerciaux!$D$2:$D$3000,MATCH(H248,Commerciaux!$A$2:$A$3000,0)),"")</f>
        <v/>
      </c>
      <c r="J248" s="57" t="inlineStr">
        <is>
          <t>Compte rendu de visite</t>
        </is>
      </c>
      <c r="K248" s="40" t="inlineStr">
        <is>
          <t>Rendez-vous à Reims avec Damien Royer. Le fournisseur actuel de coffrets ne donne pas satisfaction sur les délais. Cahier des charges reçu ; décision prévue en décembre.</t>
        </is>
      </c>
      <c r="L248" s="57" t="inlineStr">
        <is>
          <t>Positif</t>
        </is>
      </c>
      <c r="M248" s="57" t="inlineStr">
        <is>
          <t>T016</t>
        </is>
      </c>
      <c r="N248" s="57" t="inlineStr">
        <is>
          <t>Remettre une proposition chiffrée avant le 20/10</t>
        </is>
      </c>
      <c r="O248" s="58" t="n">
        <v>46311</v>
      </c>
      <c r="P248" s="60" t="n">
        <v>120</v>
      </c>
      <c r="Q248" s="57" t="n"/>
    </row>
    <row r="249" ht="23.85" customHeight="1" s="34">
      <c r="A249" s="57" t="inlineStr">
        <is>
          <t>A0248</t>
        </is>
      </c>
      <c r="B249" s="58" t="n">
        <v>46295</v>
      </c>
      <c r="C249" s="57" t="inlineStr">
        <is>
          <t>E-mail</t>
        </is>
      </c>
      <c r="D249" s="57" t="inlineStr">
        <is>
          <t>E003</t>
        </is>
      </c>
      <c r="E249" s="57">
        <f>IFERROR(INDEX(Entreprises!$B$2:$B$3000,MATCH(D249,Entreprises!$A$2:$A$3000,0)),"")</f>
        <v/>
      </c>
      <c r="F249" s="57" t="inlineStr">
        <is>
          <t>C005</t>
        </is>
      </c>
      <c r="G249" s="57">
        <f>IFERROR(INDEX(Contacts!$E$2:$E$3000,MATCH(F249,Contacts!$A$2:$A$3000,0)),"")</f>
        <v/>
      </c>
      <c r="H249" s="57" t="inlineStr">
        <is>
          <t>U002</t>
        </is>
      </c>
      <c r="I249" s="57">
        <f>IFERROR(INDEX(Commerciaux!$D$2:$D$3000,MATCH(H249,Commerciaux!$A$2:$A$3000,0)),"")</f>
        <v/>
      </c>
      <c r="J249" s="57" t="inlineStr">
        <is>
          <t>Date de l'audit fournisseur</t>
        </is>
      </c>
      <c r="K249" s="40" t="inlineStr">
        <is>
          <t>Sophie Marchand confirme l'audit fournisseur les 18 et 19 novembre et demande le rapport 8D finalisé avant l'audit.</t>
        </is>
      </c>
      <c r="L249" s="57" t="inlineStr">
        <is>
          <t>À relancer</t>
        </is>
      </c>
      <c r="M249" s="57" t="inlineStr">
        <is>
          <t>T006</t>
        </is>
      </c>
      <c r="N249" s="57" t="inlineStr">
        <is>
          <t>Envoyer le rapport 8D finalisé</t>
        </is>
      </c>
      <c r="O249" s="58" t="n">
        <v>46307</v>
      </c>
      <c r="P249" s="60" t="n"/>
      <c r="Q249" s="57" t="n"/>
    </row>
    <row r="250" ht="23.85" customHeight="1" s="34">
      <c r="A250" s="57" t="inlineStr">
        <is>
          <t>A0249</t>
        </is>
      </c>
      <c r="B250" s="58" t="n">
        <v>46295</v>
      </c>
      <c r="C250" s="57" t="inlineStr">
        <is>
          <t>Visite terrain</t>
        </is>
      </c>
      <c r="D250" s="57" t="inlineStr">
        <is>
          <t>E024</t>
        </is>
      </c>
      <c r="E250" s="57">
        <f>IFERROR(INDEX(Entreprises!$B$2:$B$3000,MATCH(D250,Entreprises!$A$2:$A$3000,0)),"")</f>
        <v/>
      </c>
      <c r="F250" s="57" t="inlineStr">
        <is>
          <t>C039</t>
        </is>
      </c>
      <c r="G250" s="57">
        <f>IFERROR(INDEX(Contacts!$E$2:$E$3000,MATCH(F250,Contacts!$A$2:$A$3000,0)),"")</f>
        <v/>
      </c>
      <c r="H250" s="57" t="inlineStr">
        <is>
          <t>U006</t>
        </is>
      </c>
      <c r="I250" s="57">
        <f>IFERROR(INDEX(Commerciaux!$D$2:$D$3000,MATCH(H250,Commerciaux!$A$2:$A$3000,0)),"")</f>
        <v/>
      </c>
      <c r="J250" s="57" t="inlineStr">
        <is>
          <t>Compte rendu de visite</t>
        </is>
      </c>
      <c r="K250" s="40" t="inlineStr">
        <is>
          <t>Rendez-vous avec Agnès Picard sur l'appel d'offres notices et étuis. Trois fournisseurs retenus pour la soutenance de fin octobre. Critères : qualité, capacité, prix et engagement RSE.</t>
        </is>
      </c>
      <c r="L250" s="57" t="inlineStr">
        <is>
          <t>Positif</t>
        </is>
      </c>
      <c r="M250" s="57" t="inlineStr">
        <is>
          <t>T038</t>
        </is>
      </c>
      <c r="N250" s="57" t="inlineStr">
        <is>
          <t>Préparer la soutenance</t>
        </is>
      </c>
      <c r="O250" s="58" t="n">
        <v>46323</v>
      </c>
      <c r="P250" s="60" t="n">
        <v>120</v>
      </c>
      <c r="Q250" s="57" t="n"/>
    </row>
    <row r="251" ht="35.05" customHeight="1" s="34">
      <c r="A251" s="57" t="inlineStr">
        <is>
          <t>A0250</t>
        </is>
      </c>
      <c r="B251" s="58" t="n">
        <v>46296</v>
      </c>
      <c r="C251" s="57" t="inlineStr">
        <is>
          <t>Appel</t>
        </is>
      </c>
      <c r="D251" s="57" t="inlineStr">
        <is>
          <t>E002</t>
        </is>
      </c>
      <c r="E251" s="57">
        <f>IFERROR(INDEX(Entreprises!$B$2:$B$3000,MATCH(D251,Entreprises!$A$2:$A$3000,0)),"")</f>
        <v/>
      </c>
      <c r="F251" s="57" t="inlineStr">
        <is>
          <t>C004</t>
        </is>
      </c>
      <c r="G251" s="57">
        <f>IFERROR(INDEX(Contacts!$E$2:$E$3000,MATCH(F251,Contacts!$A$2:$A$3000,0)),"")</f>
        <v/>
      </c>
      <c r="H251" s="57" t="inlineStr">
        <is>
          <t>U002</t>
        </is>
      </c>
      <c r="I251" s="57">
        <f>IFERROR(INDEX(Commerciaux!$D$2:$D$3000,MATCH(H251,Commerciaux!$A$2:$A$3000,0)),"")</f>
        <v/>
      </c>
      <c r="J251" s="57" t="inlineStr">
        <is>
          <t>Confirmation de la démonstration</t>
        </is>
      </c>
      <c r="K251" s="40" t="inlineStr">
        <is>
          <t>Philippe Delattre confirme la démonstration du 12/10 à 14h00. Il viendra avec son responsable maintenance. Questions attendues : temps de changement de format, disponibilité des pièces détachées, délai d'installation.</t>
        </is>
      </c>
      <c r="L251" s="57" t="inlineStr">
        <is>
          <t>Positif</t>
        </is>
      </c>
      <c r="M251" s="57" t="inlineStr">
        <is>
          <t>T004</t>
        </is>
      </c>
      <c r="N251" s="57" t="inlineStr">
        <is>
          <t>Préparer les réponses techniques et un chiffrage avec maintenance</t>
        </is>
      </c>
      <c r="O251" s="58" t="n">
        <v>46307</v>
      </c>
      <c r="P251" s="60" t="n">
        <v>15</v>
      </c>
      <c r="Q251" s="57" t="n"/>
    </row>
    <row r="252" ht="23.85" customHeight="1" s="34">
      <c r="A252" s="57" t="inlineStr">
        <is>
          <t>A0251</t>
        </is>
      </c>
      <c r="B252" s="58" t="n">
        <v>46300</v>
      </c>
      <c r="C252" s="57" t="inlineStr">
        <is>
          <t>E-mail</t>
        </is>
      </c>
      <c r="D252" s="57" t="inlineStr">
        <is>
          <t>E001</t>
        </is>
      </c>
      <c r="E252" s="57">
        <f>IFERROR(INDEX(Entreprises!$B$2:$B$3000,MATCH(D252,Entreprises!$A$2:$A$3000,0)),"")</f>
        <v/>
      </c>
      <c r="F252" s="57" t="inlineStr">
        <is>
          <t>C001</t>
        </is>
      </c>
      <c r="G252" s="57">
        <f>IFERROR(INDEX(Contacts!$E$2:$E$3000,MATCH(F252,Contacts!$A$2:$A$3000,0)),"")</f>
        <v/>
      </c>
      <c r="H252" s="57" t="inlineStr">
        <is>
          <t>U002</t>
        </is>
      </c>
      <c r="I252" s="57">
        <f>IFERROR(INDEX(Commerciaux!$D$2:$D$3000,MATCH(H252,Commerciaux!$A$2:$A$3000,0)),"")</f>
        <v/>
      </c>
      <c r="J252" s="57" t="inlineStr">
        <is>
          <t>Confirmation du rendez-vous du 12/10</t>
        </is>
      </c>
      <c r="K252" s="40" t="inlineStr">
        <is>
          <t>Nathalie Dubreuil accuse réception de la proposition et confirme le rendez-vous du 12/10 à 9h30. Elle souhaite y voir un engagement écrit sur les délais de livraison, avec pénalités.</t>
        </is>
      </c>
      <c r="L252" s="57" t="inlineStr">
        <is>
          <t>À relancer</t>
        </is>
      </c>
      <c r="M252" s="57" t="inlineStr">
        <is>
          <t>T001</t>
        </is>
      </c>
      <c r="N252" s="57" t="inlineStr">
        <is>
          <t>Préparer un engagement écrit sur les délais avec pénalités</t>
        </is>
      </c>
      <c r="O252" s="58" t="n">
        <v>46307</v>
      </c>
      <c r="P252" s="60" t="n"/>
      <c r="Q252" s="57" t="n"/>
    </row>
    <row r="253" ht="23.85" customHeight="1" s="34">
      <c r="A253" s="57" t="inlineStr">
        <is>
          <t>A0252</t>
        </is>
      </c>
      <c r="B253" s="58" t="n">
        <v>46300</v>
      </c>
      <c r="C253" s="57" t="inlineStr">
        <is>
          <t>E-mail</t>
        </is>
      </c>
      <c r="D253" s="57" t="inlineStr">
        <is>
          <t>E010</t>
        </is>
      </c>
      <c r="E253" s="57">
        <f>IFERROR(INDEX(Entreprises!$B$2:$B$3000,MATCH(D253,Entreprises!$A$2:$A$3000,0)),"")</f>
        <v/>
      </c>
      <c r="F253" s="57" t="inlineStr">
        <is>
          <t>C016</t>
        </is>
      </c>
      <c r="G253" s="57">
        <f>IFERROR(INDEX(Contacts!$E$2:$E$3000,MATCH(F253,Contacts!$A$2:$A$3000,0)),"")</f>
        <v/>
      </c>
      <c r="H253" s="57" t="inlineStr">
        <is>
          <t>U003</t>
        </is>
      </c>
      <c r="I253" s="57">
        <f>IFERROR(INDEX(Commerciaux!$D$2:$D$3000,MATCH(H253,Commerciaux!$A$2:$A$3000,0)),"")</f>
        <v/>
      </c>
      <c r="J253" s="57" t="inlineStr">
        <is>
          <t>Envoi du compte rendu de visite</t>
        </is>
      </c>
      <c r="K253" s="40" t="inlineStr">
        <is>
          <t>Envoi à Damien Royer du compte rendu de la visite du 29/09/2026 et des prochaines étapes convenues.</t>
        </is>
      </c>
      <c r="L253" s="57" t="inlineStr">
        <is>
          <t>Neutre</t>
        </is>
      </c>
      <c r="M253" s="57" t="inlineStr">
        <is>
          <t>T016</t>
        </is>
      </c>
      <c r="N253" s="57" t="n"/>
      <c r="O253" s="58" t="n"/>
      <c r="P253" s="60" t="n"/>
      <c r="Q253" s="57" t="n"/>
    </row>
    <row r="254" ht="23.85" customHeight="1" s="34">
      <c r="A254" s="57" t="inlineStr">
        <is>
          <t>A0253</t>
        </is>
      </c>
      <c r="B254" s="58" t="n">
        <v>46300</v>
      </c>
      <c r="C254" s="57" t="inlineStr">
        <is>
          <t>E-mail</t>
        </is>
      </c>
      <c r="D254" s="57" t="inlineStr">
        <is>
          <t>E024</t>
        </is>
      </c>
      <c r="E254" s="57">
        <f>IFERROR(INDEX(Entreprises!$B$2:$B$3000,MATCH(D254,Entreprises!$A$2:$A$3000,0)),"")</f>
        <v/>
      </c>
      <c r="F254" s="57" t="inlineStr">
        <is>
          <t>C039</t>
        </is>
      </c>
      <c r="G254" s="57">
        <f>IFERROR(INDEX(Contacts!$E$2:$E$3000,MATCH(F254,Contacts!$A$2:$A$3000,0)),"")</f>
        <v/>
      </c>
      <c r="H254" s="57" t="inlineStr">
        <is>
          <t>U006</t>
        </is>
      </c>
      <c r="I254" s="57">
        <f>IFERROR(INDEX(Commerciaux!$D$2:$D$3000,MATCH(H254,Commerciaux!$A$2:$A$3000,0)),"")</f>
        <v/>
      </c>
      <c r="J254" s="57" t="inlineStr">
        <is>
          <t>Envoi du compte rendu de visite</t>
        </is>
      </c>
      <c r="K254" s="40" t="inlineStr">
        <is>
          <t>Envoi à Agnès Picard du compte rendu de la visite du 30/09/2026 et des prochaines étapes convenues.</t>
        </is>
      </c>
      <c r="L254" s="57" t="inlineStr">
        <is>
          <t>Neutre</t>
        </is>
      </c>
      <c r="M254" s="57" t="inlineStr">
        <is>
          <t>T038</t>
        </is>
      </c>
      <c r="N254" s="57" t="n"/>
      <c r="O254" s="58" t="n"/>
      <c r="P254" s="60" t="n"/>
      <c r="Q254" s="57" t="n"/>
    </row>
    <row r="255" ht="23.85" customHeight="1" s="34">
      <c r="A255" s="57" t="inlineStr">
        <is>
          <t>A0254</t>
        </is>
      </c>
      <c r="B255" s="58" t="n">
        <v>46301</v>
      </c>
      <c r="C255" s="57" t="inlineStr">
        <is>
          <t>Note</t>
        </is>
      </c>
      <c r="D255" s="57" t="inlineStr">
        <is>
          <t>E002</t>
        </is>
      </c>
      <c r="E255" s="57">
        <f>IFERROR(INDEX(Entreprises!$B$2:$B$3000,MATCH(D255,Entreprises!$A$2:$A$3000,0)),"")</f>
        <v/>
      </c>
      <c r="F255" s="57" t="inlineStr">
        <is>
          <t>C004</t>
        </is>
      </c>
      <c r="G255" s="57">
        <f>IFERROR(INDEX(Contacts!$E$2:$E$3000,MATCH(F255,Contacts!$A$2:$A$3000,0)),"")</f>
        <v/>
      </c>
      <c r="H255" s="57" t="inlineStr">
        <is>
          <t>U002</t>
        </is>
      </c>
      <c r="I255" s="57">
        <f>IFERROR(INDEX(Commerciaux!$D$2:$D$3000,MATCH(H255,Commerciaux!$A$2:$A$3000,0)),"")</f>
        <v/>
      </c>
      <c r="J255" s="57" t="inlineStr">
        <is>
          <t>Information concurrence</t>
        </is>
      </c>
      <c r="K255" s="40" t="inlineStr">
        <is>
          <t>Note interne : Emballor Industries aurait proposé un prix inférieur d'environ 10 %, sans contrat de maintenance inclus. Mettre en avant le coût total sur cinq ans.</t>
        </is>
      </c>
      <c r="L255" s="57" t="inlineStr">
        <is>
          <t>Neutre</t>
        </is>
      </c>
      <c r="M255" s="57" t="inlineStr">
        <is>
          <t>T004</t>
        </is>
      </c>
      <c r="N255" s="57" t="n"/>
      <c r="O255" s="58" t="n"/>
      <c r="P255" s="60" t="n"/>
      <c r="Q255" s="57" t="n"/>
    </row>
  </sheetData>
  <dataValidations count="5">
    <dataValidation sqref="C2:C455" showDropDown="0" showInputMessage="0" showErrorMessage="1" allowBlank="1" errorTitle="Valeur non autorisée" error="Choisissez une valeur dans la liste." type="list" errorStyle="stop" operator="between">
      <formula1>Paramètres!$I$7:$I$11</formula1>
      <formula2>0</formula2>
    </dataValidation>
    <dataValidation sqref="L2:L455" showDropDown="0" showInputMessage="0" showErrorMessage="1" allowBlank="1" errorTitle="Valeur non autorisée" error="Choisissez une valeur dans la liste." type="list" errorStyle="stop" operator="between">
      <formula1>Paramètres!$J$7:$J$10</formula1>
      <formula2>0</formula2>
    </dataValidation>
    <dataValidation sqref="D2:D455" showDropDown="0" showInputMessage="0" showErrorMessage="1" allowBlank="1" errorTitle="Valeur non autorisée" error="Choisissez une valeur dans la liste." type="list" errorStyle="stop" operator="between">
      <formula1>Entreprises!$A$2:$A$3000</formula1>
      <formula2>0</formula2>
    </dataValidation>
    <dataValidation sqref="F2:F455" showDropDown="0" showInputMessage="0" showErrorMessage="1" allowBlank="1" errorTitle="Valeur non autorisée" error="Choisissez une valeur dans la liste." type="list" errorStyle="stop" operator="between">
      <formula1>Contacts!$A$2:$A$3000</formula1>
      <formula2>0</formula2>
    </dataValidation>
    <dataValidation sqref="H2:H455" showDropDown="0" showInputMessage="0" showErrorMessage="1" allowBlank="1" errorTitle="Valeur non autorisée" error="Choisissez une valeur dans la liste." type="list" errorStyle="stop" operator="between">
      <formula1>Commerciaux!$A$2:$A$3000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9.xml><?xml version="1.0" encoding="utf-8"?>
<worksheet xmlns="http://schemas.openxmlformats.org/spreadsheetml/2006/main">
  <sheetPr filterMode="0">
    <outlinePr summaryBelow="1" summaryRight="1"/>
    <pageSetUpPr fitToPage="0"/>
  </sheetPr>
  <dimension ref="A1:R40"/>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3" customWidth="1" style="33" min="1" max="1"/>
    <col width="12" customWidth="1" style="33" min="2" max="2"/>
    <col width="10" customWidth="1" style="33" min="3" max="4"/>
    <col width="16" customWidth="1" style="33" min="5" max="5"/>
    <col width="12" customWidth="1" style="33" min="6" max="6"/>
    <col width="20" customWidth="1" style="33" min="7" max="7"/>
    <col width="11" customWidth="1" style="33" min="8" max="8"/>
    <col width="20" customWidth="1" style="33" min="9" max="9"/>
    <col width="32" customWidth="1" style="33" min="10" max="10"/>
    <col width="12" customWidth="1" style="33" min="11" max="11"/>
    <col width="18" customWidth="1" style="33" min="12" max="12"/>
    <col width="32" customWidth="1" style="33" min="13" max="13"/>
    <col width="50" customWidth="1" style="33" min="14" max="14"/>
    <col width="13" customWidth="1" style="33" min="15" max="15"/>
    <col width="12" customWidth="1" style="33" min="16" max="16"/>
    <col width="10" customWidth="1" style="33" min="17" max="17"/>
    <col width="60" customWidth="1" style="33" min="18" max="18"/>
  </cols>
  <sheetData>
    <row r="1" ht="31.5" customHeight="1" s="34">
      <c r="A1" s="55" t="inlineStr">
        <is>
          <t>ID rendez-vous</t>
        </is>
      </c>
      <c r="B1" s="55" t="inlineStr">
        <is>
          <t>Date</t>
        </is>
      </c>
      <c r="C1" s="55" t="inlineStr">
        <is>
          <t>Heure de début</t>
        </is>
      </c>
      <c r="D1" s="55" t="inlineStr">
        <is>
          <t>Heure de fin</t>
        </is>
      </c>
      <c r="E1" s="55" t="inlineStr">
        <is>
          <t>Type de rendez-vous</t>
        </is>
      </c>
      <c r="F1" s="55" t="inlineStr">
        <is>
          <t>ID entreprise</t>
        </is>
      </c>
      <c r="G1" s="56" t="inlineStr">
        <is>
          <t>Entreprise</t>
        </is>
      </c>
      <c r="H1" s="55" t="inlineStr">
        <is>
          <t>ID contact</t>
        </is>
      </c>
      <c r="I1" s="56" t="inlineStr">
        <is>
          <t>Contact</t>
        </is>
      </c>
      <c r="J1" s="56" t="inlineStr">
        <is>
          <t>Fonction du contact</t>
        </is>
      </c>
      <c r="K1" s="55" t="inlineStr">
        <is>
          <t>ID commercial</t>
        </is>
      </c>
      <c r="L1" s="56" t="inlineStr">
        <is>
          <t>Commercial</t>
        </is>
      </c>
      <c r="M1" s="55" t="inlineStr">
        <is>
          <t>Lieu</t>
        </is>
      </c>
      <c r="N1" s="55" t="inlineStr">
        <is>
          <t>Objet du rendez-vous</t>
        </is>
      </c>
      <c r="O1" s="55" t="inlineStr">
        <is>
          <t>ID transaction associée</t>
        </is>
      </c>
      <c r="P1" s="55" t="inlineStr">
        <is>
          <t>Statut</t>
        </is>
      </c>
      <c r="Q1" s="63" t="inlineStr">
        <is>
          <t>Brief préparé</t>
        </is>
      </c>
      <c r="R1" s="63" t="inlineStr">
        <is>
          <t>Compte rendu de visite</t>
        </is>
      </c>
    </row>
    <row r="2" ht="23.85" customHeight="1" s="34">
      <c r="A2" s="57" t="inlineStr">
        <is>
          <t>R001</t>
        </is>
      </c>
      <c r="B2" s="58" t="n">
        <v>46307</v>
      </c>
      <c r="C2" s="64" t="n">
        <v>0.3958333333333333</v>
      </c>
      <c r="D2" s="64" t="n">
        <v>0.4583333333333333</v>
      </c>
      <c r="E2" s="57" t="inlineStr">
        <is>
          <t>Visite sur site</t>
        </is>
      </c>
      <c r="F2" s="57" t="inlineStr">
        <is>
          <t>E001</t>
        </is>
      </c>
      <c r="G2" s="57">
        <f>IFERROR(INDEX(Entreprises!$B$2:$B$3000,MATCH(F2,Entreprises!$A$2:$A$3000,0)),"")</f>
        <v/>
      </c>
      <c r="H2" s="57" t="inlineStr">
        <is>
          <t>C001</t>
        </is>
      </c>
      <c r="I2" s="57">
        <f>IFERROR(INDEX(Contacts!$E$2:$E$3000,MATCH(H2,Contacts!$A$2:$A$3000,0)),"")</f>
        <v/>
      </c>
      <c r="J2" s="57">
        <f>IFERROR(INDEX(Contacts!$I$2:$I$3000,MATCH(H2,Contacts!$A$2:$A$3000,0)),"")</f>
        <v/>
      </c>
      <c r="K2" s="57" t="inlineStr">
        <is>
          <t>U002</t>
        </is>
      </c>
      <c r="L2" s="57">
        <f>IFERROR(INDEX(Commerciaux!$D$2:$D$3000,MATCH(K2,Commerciaux!$A$2:$A$3000,0)),"")</f>
        <v/>
      </c>
      <c r="M2" s="57" t="inlineStr">
        <is>
          <t>Bonduelle - Villeneuve-d'Ascq</t>
        </is>
      </c>
      <c r="N2" s="40" t="inlineStr">
        <is>
          <t>Revue de la proposition de renouvellement de l'accord-cadre étiquettes 2027</t>
        </is>
      </c>
      <c r="O2" s="57" t="inlineStr">
        <is>
          <t>T001</t>
        </is>
      </c>
      <c r="P2" s="57" t="inlineStr">
        <is>
          <t>Confirmé</t>
        </is>
      </c>
      <c r="Q2" s="57" t="inlineStr">
        <is>
          <t>Oui</t>
        </is>
      </c>
      <c r="R2" s="40" t="n"/>
    </row>
    <row r="3" ht="23.85" customHeight="1" s="34">
      <c r="A3" s="57" t="inlineStr">
        <is>
          <t>R002</t>
        </is>
      </c>
      <c r="B3" s="58" t="n">
        <v>46307</v>
      </c>
      <c r="C3" s="64" t="n">
        <v>0.5833333333333334</v>
      </c>
      <c r="D3" s="64" t="n">
        <v>0.6666666666666666</v>
      </c>
      <c r="E3" s="57" t="inlineStr">
        <is>
          <t>Visite sur site</t>
        </is>
      </c>
      <c r="F3" s="57" t="inlineStr">
        <is>
          <t>E002</t>
        </is>
      </c>
      <c r="G3" s="57">
        <f>IFERROR(INDEX(Entreprises!$B$2:$B$3000,MATCH(F3,Entreprises!$A$2:$A$3000,0)),"")</f>
        <v/>
      </c>
      <c r="H3" s="57" t="inlineStr">
        <is>
          <t>C004</t>
        </is>
      </c>
      <c r="I3" s="57">
        <f>IFERROR(INDEX(Contacts!$E$2:$E$3000,MATCH(H3,Contacts!$A$2:$A$3000,0)),"")</f>
        <v/>
      </c>
      <c r="J3" s="57">
        <f>IFERROR(INDEX(Contacts!$I$2:$I$3000,MATCH(H3,Contacts!$A$2:$A$3000,0)),"")</f>
        <v/>
      </c>
      <c r="K3" s="57" t="inlineStr">
        <is>
          <t>U002</t>
        </is>
      </c>
      <c r="L3" s="57">
        <f>IFERROR(INDEX(Commerciaux!$D$2:$D$3000,MATCH(K3,Commerciaux!$A$2:$A$3000,0)),"")</f>
        <v/>
      </c>
      <c r="M3" s="57" t="inlineStr">
        <is>
          <t>Lesaffre - Marcq-en-Barœul</t>
        </is>
      </c>
      <c r="N3" s="40" t="inlineStr">
        <is>
          <t>Démonstration de l'encartonneuse EC-200 et échange sur le chiffrage</t>
        </is>
      </c>
      <c r="O3" s="57" t="inlineStr">
        <is>
          <t>T004</t>
        </is>
      </c>
      <c r="P3" s="57" t="inlineStr">
        <is>
          <t>Confirmé</t>
        </is>
      </c>
      <c r="Q3" s="57" t="inlineStr">
        <is>
          <t>Oui</t>
        </is>
      </c>
      <c r="R3" s="40" t="n"/>
    </row>
    <row r="4" ht="15" customHeight="1" s="34">
      <c r="A4" s="57" t="inlineStr">
        <is>
          <t>R003</t>
        </is>
      </c>
      <c r="B4" s="58" t="n">
        <v>46307</v>
      </c>
      <c r="C4" s="64" t="n">
        <v>0.7083333333333334</v>
      </c>
      <c r="D4" s="64" t="n">
        <v>0.7395833333333334</v>
      </c>
      <c r="E4" s="57" t="inlineStr">
        <is>
          <t>Visio</t>
        </is>
      </c>
      <c r="F4" s="57" t="inlineStr">
        <is>
          <t>E003</t>
        </is>
      </c>
      <c r="G4" s="57">
        <f>IFERROR(INDEX(Entreprises!$B$2:$B$3000,MATCH(F4,Entreprises!$A$2:$A$3000,0)),"")</f>
        <v/>
      </c>
      <c r="H4" s="57" t="inlineStr">
        <is>
          <t>C005</t>
        </is>
      </c>
      <c r="I4" s="57">
        <f>IFERROR(INDEX(Contacts!$E$2:$E$3000,MATCH(H4,Contacts!$A$2:$A$3000,0)),"")</f>
        <v/>
      </c>
      <c r="J4" s="57">
        <f>IFERROR(INDEX(Contacts!$I$2:$I$3000,MATCH(H4,Contacts!$A$2:$A$3000,0)),"")</f>
        <v/>
      </c>
      <c r="K4" s="57" t="inlineStr">
        <is>
          <t>U002</t>
        </is>
      </c>
      <c r="L4" s="57">
        <f>IFERROR(INDEX(Commerciaux!$D$2:$D$3000,MATCH(K4,Commerciaux!$A$2:$A$3000,0)),"")</f>
        <v/>
      </c>
      <c r="M4" s="57" t="inlineStr">
        <is>
          <t>Microsoft Teams</t>
        </is>
      </c>
      <c r="N4" s="40" t="inlineStr">
        <is>
          <t>Préparation de l'audit fournisseur de novembre</t>
        </is>
      </c>
      <c r="O4" s="57" t="inlineStr">
        <is>
          <t>T006</t>
        </is>
      </c>
      <c r="P4" s="57" t="inlineStr">
        <is>
          <t>Confirmé</t>
        </is>
      </c>
      <c r="Q4" s="57" t="inlineStr">
        <is>
          <t>Oui</t>
        </is>
      </c>
      <c r="R4" s="40" t="n"/>
    </row>
    <row r="5" ht="15" customHeight="1" s="34">
      <c r="A5" s="57" t="inlineStr">
        <is>
          <t>R004</t>
        </is>
      </c>
      <c r="B5" s="58" t="n">
        <v>46308</v>
      </c>
      <c r="C5" s="64" t="n">
        <v>0.4166666666666667</v>
      </c>
      <c r="D5" s="64" t="n">
        <v>0.5</v>
      </c>
      <c r="E5" s="57" t="inlineStr">
        <is>
          <t>Visite sur site</t>
        </is>
      </c>
      <c r="F5" s="57" t="inlineStr">
        <is>
          <t>E012</t>
        </is>
      </c>
      <c r="G5" s="57">
        <f>IFERROR(INDEX(Entreprises!$B$2:$B$3000,MATCH(F5,Entreprises!$A$2:$A$3000,0)),"")</f>
        <v/>
      </c>
      <c r="H5" s="57" t="inlineStr">
        <is>
          <t>C020</t>
        </is>
      </c>
      <c r="I5" s="57">
        <f>IFERROR(INDEX(Contacts!$E$2:$E$3000,MATCH(H5,Contacts!$A$2:$A$3000,0)),"")</f>
        <v/>
      </c>
      <c r="J5" s="57">
        <f>IFERROR(INDEX(Contacts!$I$2:$I$3000,MATCH(H5,Contacts!$A$2:$A$3000,0)),"")</f>
        <v/>
      </c>
      <c r="K5" s="57" t="inlineStr">
        <is>
          <t>U004</t>
        </is>
      </c>
      <c r="L5" s="57">
        <f>IFERROR(INDEX(Commerciaux!$D$2:$D$3000,MATCH(K5,Commerciaux!$A$2:$A$3000,0)),"")</f>
        <v/>
      </c>
      <c r="M5" s="57" t="inlineStr">
        <is>
          <t>bioMérieux - Marcy-l'Étoile</t>
        </is>
      </c>
      <c r="N5" s="40" t="inlineStr">
        <is>
          <t>Démonstration DataMatrix sur ligne pilote</t>
        </is>
      </c>
      <c r="O5" s="57" t="inlineStr">
        <is>
          <t>T020</t>
        </is>
      </c>
      <c r="P5" s="57" t="inlineStr">
        <is>
          <t>Confirmé</t>
        </is>
      </c>
      <c r="Q5" s="57" t="inlineStr">
        <is>
          <t>Non</t>
        </is>
      </c>
      <c r="R5" s="40" t="n"/>
    </row>
    <row r="6" ht="15" customHeight="1" s="34">
      <c r="A6" s="57" t="inlineStr">
        <is>
          <t>R005</t>
        </is>
      </c>
      <c r="B6" s="58" t="n">
        <v>46308</v>
      </c>
      <c r="C6" s="64" t="n">
        <v>0.6041666666666666</v>
      </c>
      <c r="D6" s="64" t="n">
        <v>0.6666666666666666</v>
      </c>
      <c r="E6" s="57" t="inlineStr">
        <is>
          <t>Visite sur site</t>
        </is>
      </c>
      <c r="F6" s="57" t="inlineStr">
        <is>
          <t>E008</t>
        </is>
      </c>
      <c r="G6" s="57">
        <f>IFERROR(INDEX(Entreprises!$B$2:$B$3000,MATCH(F6,Entreprises!$A$2:$A$3000,0)),"")</f>
        <v/>
      </c>
      <c r="H6" s="57" t="inlineStr">
        <is>
          <t>C013</t>
        </is>
      </c>
      <c r="I6" s="57">
        <f>IFERROR(INDEX(Contacts!$E$2:$E$3000,MATCH(H6,Contacts!$A$2:$A$3000,0)),"")</f>
        <v/>
      </c>
      <c r="J6" s="57">
        <f>IFERROR(INDEX(Contacts!$I$2:$I$3000,MATCH(H6,Contacts!$A$2:$A$3000,0)),"")</f>
        <v/>
      </c>
      <c r="K6" s="57" t="inlineStr">
        <is>
          <t>U003</t>
        </is>
      </c>
      <c r="L6" s="57">
        <f>IFERROR(INDEX(Commerciaux!$D$2:$D$3000,MATCH(K6,Commerciaux!$A$2:$A$3000,0)),"")</f>
        <v/>
      </c>
      <c r="M6" s="57" t="inlineStr">
        <is>
          <t>Moët &amp; Chandon - Épernay</t>
        </is>
      </c>
      <c r="N6" s="40" t="inlineStr">
        <is>
          <t>Présentation des prototypes d'étuis allégés</t>
        </is>
      </c>
      <c r="O6" s="57" t="inlineStr">
        <is>
          <t>T013</t>
        </is>
      </c>
      <c r="P6" s="57" t="inlineStr">
        <is>
          <t>Confirmé</t>
        </is>
      </c>
      <c r="Q6" s="57" t="inlineStr">
        <is>
          <t>Non</t>
        </is>
      </c>
      <c r="R6" s="40" t="n"/>
    </row>
    <row r="7" ht="15" customHeight="1" s="34">
      <c r="A7" s="57" t="inlineStr">
        <is>
          <t>R006</t>
        </is>
      </c>
      <c r="B7" s="58" t="n">
        <v>46309</v>
      </c>
      <c r="C7" s="64" t="n">
        <v>0.375</v>
      </c>
      <c r="D7" s="64" t="n">
        <v>0.4375</v>
      </c>
      <c r="E7" s="57" t="inlineStr">
        <is>
          <t>Visite sur site</t>
        </is>
      </c>
      <c r="F7" s="57" t="inlineStr">
        <is>
          <t>E022</t>
        </is>
      </c>
      <c r="G7" s="57">
        <f>IFERROR(INDEX(Entreprises!$B$2:$B$3000,MATCH(F7,Entreprises!$A$2:$A$3000,0)),"")</f>
        <v/>
      </c>
      <c r="H7" s="57" t="inlineStr">
        <is>
          <t>C036</t>
        </is>
      </c>
      <c r="I7" s="57">
        <f>IFERROR(INDEX(Contacts!$E$2:$E$3000,MATCH(H7,Contacts!$A$2:$A$3000,0)),"")</f>
        <v/>
      </c>
      <c r="J7" s="57">
        <f>IFERROR(INDEX(Contacts!$I$2:$I$3000,MATCH(H7,Contacts!$A$2:$A$3000,0)),"")</f>
        <v/>
      </c>
      <c r="K7" s="57" t="inlineStr">
        <is>
          <t>U006</t>
        </is>
      </c>
      <c r="L7" s="57">
        <f>IFERROR(INDEX(Commerciaux!$D$2:$D$3000,MATCH(K7,Commerciaux!$A$2:$A$3000,0)),"")</f>
        <v/>
      </c>
      <c r="M7" s="57" t="inlineStr">
        <is>
          <t>Sanofi - Paris</t>
        </is>
      </c>
      <c r="N7" s="40" t="inlineStr">
        <is>
          <t>Comité de pilotage sérialisation</t>
        </is>
      </c>
      <c r="O7" s="57" t="inlineStr">
        <is>
          <t>T034</t>
        </is>
      </c>
      <c r="P7" s="57" t="inlineStr">
        <is>
          <t>Planifié</t>
        </is>
      </c>
      <c r="Q7" s="57" t="inlineStr">
        <is>
          <t>Non</t>
        </is>
      </c>
      <c r="R7" s="40" t="n"/>
    </row>
    <row r="8" ht="15" customHeight="1" s="34">
      <c r="A8" s="57" t="inlineStr">
        <is>
          <t>R007</t>
        </is>
      </c>
      <c r="B8" s="58" t="n">
        <v>46309</v>
      </c>
      <c r="C8" s="64" t="n">
        <v>0.4583333333333333</v>
      </c>
      <c r="D8" s="64" t="n">
        <v>0.4895833333333333</v>
      </c>
      <c r="E8" s="57" t="inlineStr">
        <is>
          <t>Visio</t>
        </is>
      </c>
      <c r="F8" s="57" t="inlineStr">
        <is>
          <t>E005</t>
        </is>
      </c>
      <c r="G8" s="57">
        <f>IFERROR(INDEX(Entreprises!$B$2:$B$3000,MATCH(F8,Entreprises!$A$2:$A$3000,0)),"")</f>
        <v/>
      </c>
      <c r="H8" s="57" t="inlineStr">
        <is>
          <t>C009</t>
        </is>
      </c>
      <c r="I8" s="57">
        <f>IFERROR(INDEX(Contacts!$E$2:$E$3000,MATCH(H8,Contacts!$A$2:$A$3000,0)),"")</f>
        <v/>
      </c>
      <c r="J8" s="57">
        <f>IFERROR(INDEX(Contacts!$I$2:$I$3000,MATCH(H8,Contacts!$A$2:$A$3000,0)),"")</f>
        <v/>
      </c>
      <c r="K8" s="57" t="inlineStr">
        <is>
          <t>U002</t>
        </is>
      </c>
      <c r="L8" s="57">
        <f>IFERROR(INDEX(Commerciaux!$D$2:$D$3000,MATCH(K8,Commerciaux!$A$2:$A$3000,0)),"")</f>
        <v/>
      </c>
      <c r="M8" s="57" t="inlineStr">
        <is>
          <t>Microsoft Teams</t>
        </is>
      </c>
      <c r="N8" s="40" t="inlineStr">
        <is>
          <t>Revue des échantillons et de la fiche RSE</t>
        </is>
      </c>
      <c r="O8" s="57" t="inlineStr">
        <is>
          <t>T010</t>
        </is>
      </c>
      <c r="P8" s="57" t="inlineStr">
        <is>
          <t>Planifié</t>
        </is>
      </c>
      <c r="Q8" s="57" t="inlineStr">
        <is>
          <t>Oui</t>
        </is>
      </c>
      <c r="R8" s="40" t="n"/>
    </row>
    <row r="9" ht="15" customHeight="1" s="34">
      <c r="A9" s="57" t="inlineStr">
        <is>
          <t>R008</t>
        </is>
      </c>
      <c r="B9" s="58" t="n">
        <v>46310</v>
      </c>
      <c r="C9" s="64" t="n">
        <v>0.4166666666666667</v>
      </c>
      <c r="D9" s="64" t="n">
        <v>0.4791666666666667</v>
      </c>
      <c r="E9" s="57" t="inlineStr">
        <is>
          <t>Visite sur site</t>
        </is>
      </c>
      <c r="F9" s="57" t="inlineStr">
        <is>
          <t>E017</t>
        </is>
      </c>
      <c r="G9" s="57">
        <f>IFERROR(INDEX(Entreprises!$B$2:$B$3000,MATCH(F9,Entreprises!$A$2:$A$3000,0)),"")</f>
        <v/>
      </c>
      <c r="H9" s="57" t="inlineStr">
        <is>
          <t>C027</t>
        </is>
      </c>
      <c r="I9" s="57">
        <f>IFERROR(INDEX(Contacts!$E$2:$E$3000,MATCH(H9,Contacts!$A$2:$A$3000,0)),"")</f>
        <v/>
      </c>
      <c r="J9" s="57">
        <f>IFERROR(INDEX(Contacts!$I$2:$I$3000,MATCH(H9,Contacts!$A$2:$A$3000,0)),"")</f>
        <v/>
      </c>
      <c r="K9" s="57" t="inlineStr">
        <is>
          <t>U005</t>
        </is>
      </c>
      <c r="L9" s="57">
        <f>IFERROR(INDEX(Commerciaux!$D$2:$D$3000,MATCH(K9,Commerciaux!$A$2:$A$3000,0)),"")</f>
        <v/>
      </c>
      <c r="M9" s="57" t="inlineStr">
        <is>
          <t>Rémy Cointreau - Cognac</t>
        </is>
      </c>
      <c r="N9" s="40" t="inlineStr">
        <is>
          <t>Capacités saison 2027 et concept de coffret réutilisable</t>
        </is>
      </c>
      <c r="O9" s="57" t="inlineStr">
        <is>
          <t>T027</t>
        </is>
      </c>
      <c r="P9" s="57" t="inlineStr">
        <is>
          <t>Confirmé</t>
        </is>
      </c>
      <c r="Q9" s="57" t="inlineStr">
        <is>
          <t>Non</t>
        </is>
      </c>
      <c r="R9" s="40" t="n"/>
    </row>
    <row r="10" ht="15" customHeight="1" s="34">
      <c r="A10" s="57" t="inlineStr">
        <is>
          <t>R009</t>
        </is>
      </c>
      <c r="B10" s="58" t="n">
        <v>46310</v>
      </c>
      <c r="C10" s="64" t="n">
        <v>0.625</v>
      </c>
      <c r="D10" s="64" t="n">
        <v>0.6875</v>
      </c>
      <c r="E10" s="57" t="inlineStr">
        <is>
          <t>Visite sur site</t>
        </is>
      </c>
      <c r="F10" s="57" t="inlineStr">
        <is>
          <t>E014</t>
        </is>
      </c>
      <c r="G10" s="57">
        <f>IFERROR(INDEX(Entreprises!$B$2:$B$3000,MATCH(F10,Entreprises!$A$2:$A$3000,0)),"")</f>
        <v/>
      </c>
      <c r="H10" s="57" t="inlineStr">
        <is>
          <t>C024</t>
        </is>
      </c>
      <c r="I10" s="57">
        <f>IFERROR(INDEX(Contacts!$E$2:$E$3000,MATCH(H10,Contacts!$A$2:$A$3000,0)),"")</f>
        <v/>
      </c>
      <c r="J10" s="57">
        <f>IFERROR(INDEX(Contacts!$I$2:$I$3000,MATCH(H10,Contacts!$A$2:$A$3000,0)),"")</f>
        <v/>
      </c>
      <c r="K10" s="57" t="inlineStr">
        <is>
          <t>U004</t>
        </is>
      </c>
      <c r="L10" s="57">
        <f>IFERROR(INDEX(Commerciaux!$D$2:$D$3000,MATCH(K10,Commerciaux!$A$2:$A$3000,0)),"")</f>
        <v/>
      </c>
      <c r="M10" s="57" t="inlineStr">
        <is>
          <t>SEB - Écully</t>
        </is>
      </c>
      <c r="N10" s="40" t="inlineStr">
        <is>
          <t>Négociation du devis d'industrialisation</t>
        </is>
      </c>
      <c r="O10" s="57" t="inlineStr">
        <is>
          <t>T023</t>
        </is>
      </c>
      <c r="P10" s="57" t="inlineStr">
        <is>
          <t>Confirmé</t>
        </is>
      </c>
      <c r="Q10" s="57" t="inlineStr">
        <is>
          <t>Non</t>
        </is>
      </c>
      <c r="R10" s="40" t="n"/>
    </row>
    <row r="11" ht="15" customHeight="1" s="34">
      <c r="A11" s="57" t="inlineStr">
        <is>
          <t>R010</t>
        </is>
      </c>
      <c r="B11" s="58" t="n">
        <v>46311</v>
      </c>
      <c r="C11" s="64" t="n">
        <v>0.3958333333333333</v>
      </c>
      <c r="D11" s="64" t="n">
        <v>0.4583333333333333</v>
      </c>
      <c r="E11" s="57" t="inlineStr">
        <is>
          <t>Visite sur site</t>
        </is>
      </c>
      <c r="F11" s="57" t="inlineStr">
        <is>
          <t>E010</t>
        </is>
      </c>
      <c r="G11" s="57">
        <f>IFERROR(INDEX(Entreprises!$B$2:$B$3000,MATCH(F11,Entreprises!$A$2:$A$3000,0)),"")</f>
        <v/>
      </c>
      <c r="H11" s="57" t="inlineStr">
        <is>
          <t>C016</t>
        </is>
      </c>
      <c r="I11" s="57">
        <f>IFERROR(INDEX(Contacts!$E$2:$E$3000,MATCH(H11,Contacts!$A$2:$A$3000,0)),"")</f>
        <v/>
      </c>
      <c r="J11" s="57">
        <f>IFERROR(INDEX(Contacts!$I$2:$I$3000,MATCH(H11,Contacts!$A$2:$A$3000,0)),"")</f>
        <v/>
      </c>
      <c r="K11" s="57" t="inlineStr">
        <is>
          <t>U003</t>
        </is>
      </c>
      <c r="L11" s="57">
        <f>IFERROR(INDEX(Commerciaux!$D$2:$D$3000,MATCH(K11,Commerciaux!$A$2:$A$3000,0)),"")</f>
        <v/>
      </c>
      <c r="M11" s="57" t="inlineStr">
        <is>
          <t>Vranken-Pommery - Reims</t>
        </is>
      </c>
      <c r="N11" s="40" t="inlineStr">
        <is>
          <t>Remise de la proposition chiffrée coffrets premium</t>
        </is>
      </c>
      <c r="O11" s="57" t="inlineStr">
        <is>
          <t>T016</t>
        </is>
      </c>
      <c r="P11" s="57" t="inlineStr">
        <is>
          <t>Planifié</t>
        </is>
      </c>
      <c r="Q11" s="57" t="inlineStr">
        <is>
          <t>Non</t>
        </is>
      </c>
      <c r="R11" s="40" t="n"/>
    </row>
    <row r="12" ht="15" customHeight="1" s="34">
      <c r="A12" s="57" t="inlineStr">
        <is>
          <t>R011</t>
        </is>
      </c>
      <c r="B12" s="58" t="n">
        <v>46311</v>
      </c>
      <c r="C12" s="64" t="n">
        <v>0.5208333333333334</v>
      </c>
      <c r="D12" s="64" t="n">
        <v>0.6041666666666666</v>
      </c>
      <c r="E12" s="57" t="inlineStr">
        <is>
          <t>Déjeuner d'affaires</t>
        </is>
      </c>
      <c r="F12" s="57" t="inlineStr">
        <is>
          <t>E025</t>
        </is>
      </c>
      <c r="G12" s="57">
        <f>IFERROR(INDEX(Entreprises!$B$2:$B$3000,MATCH(F12,Entreprises!$A$2:$A$3000,0)),"")</f>
        <v/>
      </c>
      <c r="H12" s="57" t="inlineStr">
        <is>
          <t>C040</t>
        </is>
      </c>
      <c r="I12" s="57">
        <f>IFERROR(INDEX(Contacts!$E$2:$E$3000,MATCH(H12,Contacts!$A$2:$A$3000,0)),"")</f>
        <v/>
      </c>
      <c r="J12" s="57">
        <f>IFERROR(INDEX(Contacts!$I$2:$I$3000,MATCH(H12,Contacts!$A$2:$A$3000,0)),"")</f>
        <v/>
      </c>
      <c r="K12" s="57" t="inlineStr">
        <is>
          <t>U007</t>
        </is>
      </c>
      <c r="L12" s="57">
        <f>IFERROR(INDEX(Commerciaux!$D$2:$D$3000,MATCH(K12,Commerciaux!$A$2:$A$3000,0)),"")</f>
        <v/>
      </c>
      <c r="M12" s="57" t="inlineStr">
        <is>
          <t>Paris 8e</t>
        </is>
      </c>
      <c r="N12" s="40" t="inlineStr">
        <is>
          <t>Point annuel et programme d'éco-conception des coffrets</t>
        </is>
      </c>
      <c r="O12" s="57" t="inlineStr">
        <is>
          <t>T039</t>
        </is>
      </c>
      <c r="P12" s="57" t="inlineStr">
        <is>
          <t>Confirmé</t>
        </is>
      </c>
      <c r="Q12" s="57" t="inlineStr">
        <is>
          <t>Non</t>
        </is>
      </c>
      <c r="R12" s="40" t="n"/>
    </row>
    <row r="13" ht="15" customHeight="1" s="34">
      <c r="A13" s="57" t="inlineStr">
        <is>
          <t>R012</t>
        </is>
      </c>
      <c r="B13" s="58" t="n">
        <v>46314</v>
      </c>
      <c r="C13" s="64" t="n">
        <v>0.4166666666666667</v>
      </c>
      <c r="D13" s="64" t="n">
        <v>0.4791666666666667</v>
      </c>
      <c r="E13" s="57" t="inlineStr">
        <is>
          <t>Visite sur site</t>
        </is>
      </c>
      <c r="F13" s="57" t="inlineStr">
        <is>
          <t>E004</t>
        </is>
      </c>
      <c r="G13" s="57">
        <f>IFERROR(INDEX(Entreprises!$B$2:$B$3000,MATCH(F13,Entreprises!$A$2:$A$3000,0)),"")</f>
        <v/>
      </c>
      <c r="H13" s="57" t="inlineStr">
        <is>
          <t>C007</t>
        </is>
      </c>
      <c r="I13" s="57">
        <f>IFERROR(INDEX(Contacts!$E$2:$E$3000,MATCH(H13,Contacts!$A$2:$A$3000,0)),"")</f>
        <v/>
      </c>
      <c r="J13" s="57">
        <f>IFERROR(INDEX(Contacts!$I$2:$I$3000,MATCH(H13,Contacts!$A$2:$A$3000,0)),"")</f>
        <v/>
      </c>
      <c r="K13" s="57" t="inlineStr">
        <is>
          <t>U002</t>
        </is>
      </c>
      <c r="L13" s="57">
        <f>IFERROR(INDEX(Commerciaux!$D$2:$D$3000,MATCH(K13,Commerciaux!$A$2:$A$3000,0)),"")</f>
        <v/>
      </c>
      <c r="M13" s="57" t="inlineStr">
        <is>
          <t>Interparfums - Paris</t>
        </is>
      </c>
      <c r="N13" s="40" t="inlineStr">
        <is>
          <t>Présentation des maquettes de coffrets éco-conçus</t>
        </is>
      </c>
      <c r="O13" s="57" t="inlineStr">
        <is>
          <t>T008</t>
        </is>
      </c>
      <c r="P13" s="57" t="inlineStr">
        <is>
          <t>Planifié</t>
        </is>
      </c>
      <c r="Q13" s="57" t="inlineStr">
        <is>
          <t>Non</t>
        </is>
      </c>
      <c r="R13" s="40" t="n"/>
    </row>
    <row r="14" ht="15" customHeight="1" s="34">
      <c r="A14" s="57" t="inlineStr">
        <is>
          <t>R013</t>
        </is>
      </c>
      <c r="B14" s="58" t="n">
        <v>46314</v>
      </c>
      <c r="C14" s="64" t="n">
        <v>0.5833333333333334</v>
      </c>
      <c r="D14" s="64" t="n">
        <v>0.6458333333333334</v>
      </c>
      <c r="E14" s="57" t="inlineStr">
        <is>
          <t>Visite sur site</t>
        </is>
      </c>
      <c r="F14" s="57" t="inlineStr">
        <is>
          <t>E011</t>
        </is>
      </c>
      <c r="G14" s="57">
        <f>IFERROR(INDEX(Entreprises!$B$2:$B$3000,MATCH(F14,Entreprises!$A$2:$A$3000,0)),"")</f>
        <v/>
      </c>
      <c r="H14" s="57" t="inlineStr">
        <is>
          <t>C017</t>
        </is>
      </c>
      <c r="I14" s="57">
        <f>IFERROR(INDEX(Contacts!$E$2:$E$3000,MATCH(H14,Contacts!$A$2:$A$3000,0)),"")</f>
        <v/>
      </c>
      <c r="J14" s="57">
        <f>IFERROR(INDEX(Contacts!$I$2:$I$3000,MATCH(H14,Contacts!$A$2:$A$3000,0)),"")</f>
        <v/>
      </c>
      <c r="K14" s="57" t="inlineStr">
        <is>
          <t>U003</t>
        </is>
      </c>
      <c r="L14" s="57">
        <f>IFERROR(INDEX(Commerciaux!$D$2:$D$3000,MATCH(K14,Commerciaux!$A$2:$A$3000,0)),"")</f>
        <v/>
      </c>
      <c r="M14" s="57" t="inlineStr">
        <is>
          <t>Kronenbourg - Obernai</t>
        </is>
      </c>
      <c r="N14" s="40" t="inlineStr">
        <is>
          <t>Présentation de l'offre révisée en flux tendu</t>
        </is>
      </c>
      <c r="O14" s="57" t="inlineStr">
        <is>
          <t>T017</t>
        </is>
      </c>
      <c r="P14" s="57" t="inlineStr">
        <is>
          <t>Confirmé</t>
        </is>
      </c>
      <c r="Q14" s="57" t="inlineStr">
        <is>
          <t>Non</t>
        </is>
      </c>
      <c r="R14" s="40" t="n"/>
    </row>
    <row r="15" ht="15" customHeight="1" s="34">
      <c r="A15" s="57" t="inlineStr">
        <is>
          <t>R014</t>
        </is>
      </c>
      <c r="B15" s="58" t="n">
        <v>46315</v>
      </c>
      <c r="C15" s="64" t="n">
        <v>0.4375</v>
      </c>
      <c r="D15" s="64" t="n">
        <v>0.5</v>
      </c>
      <c r="E15" s="57" t="inlineStr">
        <is>
          <t>Visite sur site</t>
        </is>
      </c>
      <c r="F15" s="57" t="inlineStr">
        <is>
          <t>E019</t>
        </is>
      </c>
      <c r="G15" s="57">
        <f>IFERROR(INDEX(Entreprises!$B$2:$B$3000,MATCH(F15,Entreprises!$A$2:$A$3000,0)),"")</f>
        <v/>
      </c>
      <c r="H15" s="57" t="inlineStr">
        <is>
          <t>C031</t>
        </is>
      </c>
      <c r="I15" s="57">
        <f>IFERROR(INDEX(Contacts!$E$2:$E$3000,MATCH(H15,Contacts!$A$2:$A$3000,0)),"")</f>
        <v/>
      </c>
      <c r="J15" s="57">
        <f>IFERROR(INDEX(Contacts!$I$2:$I$3000,MATCH(H15,Contacts!$A$2:$A$3000,0)),"")</f>
        <v/>
      </c>
      <c r="K15" s="57" t="inlineStr">
        <is>
          <t>U005</t>
        </is>
      </c>
      <c r="L15" s="57">
        <f>IFERROR(INDEX(Commerciaux!$D$2:$D$3000,MATCH(K15,Commerciaux!$A$2:$A$3000,0)),"")</f>
        <v/>
      </c>
      <c r="M15" s="57" t="inlineStr">
        <is>
          <t>Pierre Fabre - Castres</t>
        </is>
      </c>
      <c r="N15" s="40" t="inlineStr">
        <is>
          <t>Restitution de l'analyse de cause et point renouvellement</t>
        </is>
      </c>
      <c r="O15" s="57" t="inlineStr">
        <is>
          <t>T030</t>
        </is>
      </c>
      <c r="P15" s="57" t="inlineStr">
        <is>
          <t>Planifié</t>
        </is>
      </c>
      <c r="Q15" s="57" t="inlineStr">
        <is>
          <t>Non</t>
        </is>
      </c>
      <c r="R15" s="40" t="n"/>
    </row>
    <row r="16" ht="15" customHeight="1" s="34">
      <c r="A16" s="57" t="inlineStr">
        <is>
          <t>R015</t>
        </is>
      </c>
      <c r="B16" s="58" t="n">
        <v>46315</v>
      </c>
      <c r="C16" s="64" t="n">
        <v>0.625</v>
      </c>
      <c r="D16" s="64" t="n">
        <v>0.65625</v>
      </c>
      <c r="E16" s="57" t="inlineStr">
        <is>
          <t>Visio</t>
        </is>
      </c>
      <c r="F16" s="57" t="inlineStr">
        <is>
          <t>E023</t>
        </is>
      </c>
      <c r="G16" s="57">
        <f>IFERROR(INDEX(Entreprises!$B$2:$B$3000,MATCH(F16,Entreprises!$A$2:$A$3000,0)),"")</f>
        <v/>
      </c>
      <c r="H16" s="57" t="inlineStr">
        <is>
          <t>C037</t>
        </is>
      </c>
      <c r="I16" s="57">
        <f>IFERROR(INDEX(Contacts!$E$2:$E$3000,MATCH(H16,Contacts!$A$2:$A$3000,0)),"")</f>
        <v/>
      </c>
      <c r="J16" s="57">
        <f>IFERROR(INDEX(Contacts!$I$2:$I$3000,MATCH(H16,Contacts!$A$2:$A$3000,0)),"")</f>
        <v/>
      </c>
      <c r="K16" s="57" t="inlineStr">
        <is>
          <t>U006</t>
        </is>
      </c>
      <c r="L16" s="57">
        <f>IFERROR(INDEX(Commerciaux!$D$2:$D$3000,MATCH(K16,Commerciaux!$A$2:$A$3000,0)),"")</f>
        <v/>
      </c>
      <c r="M16" s="57" t="inlineStr">
        <is>
          <t>Microsoft Teams</t>
        </is>
      </c>
      <c r="N16" s="40" t="inlineStr">
        <is>
          <t>Revue du contrat étiquettes d'inviolabilité</t>
        </is>
      </c>
      <c r="O16" s="57" t="inlineStr">
        <is>
          <t>T037</t>
        </is>
      </c>
      <c r="P16" s="57" t="inlineStr">
        <is>
          <t>Confirmé</t>
        </is>
      </c>
      <c r="Q16" s="57" t="inlineStr">
        <is>
          <t>Non</t>
        </is>
      </c>
      <c r="R16" s="40" t="n"/>
    </row>
    <row r="17" ht="15" customHeight="1" s="34">
      <c r="A17" s="57" t="inlineStr">
        <is>
          <t>R016</t>
        </is>
      </c>
      <c r="B17" s="58" t="n">
        <v>46316</v>
      </c>
      <c r="C17" s="64" t="n">
        <v>0.3958333333333333</v>
      </c>
      <c r="D17" s="64" t="n">
        <v>0.4583333333333333</v>
      </c>
      <c r="E17" s="57" t="inlineStr">
        <is>
          <t>Visite sur site</t>
        </is>
      </c>
      <c r="F17" s="57" t="inlineStr">
        <is>
          <t>E016</t>
        </is>
      </c>
      <c r="G17" s="57">
        <f>IFERROR(INDEX(Entreprises!$B$2:$B$3000,MATCH(F17,Entreprises!$A$2:$A$3000,0)),"")</f>
        <v/>
      </c>
      <c r="H17" s="57" t="inlineStr">
        <is>
          <t>C026</t>
        </is>
      </c>
      <c r="I17" s="57">
        <f>IFERROR(INDEX(Contacts!$E$2:$E$3000,MATCH(H17,Contacts!$A$2:$A$3000,0)),"")</f>
        <v/>
      </c>
      <c r="J17" s="57">
        <f>IFERROR(INDEX(Contacts!$I$2:$I$3000,MATCH(H17,Contacts!$A$2:$A$3000,0)),"")</f>
        <v/>
      </c>
      <c r="K17" s="57" t="inlineStr">
        <is>
          <t>U004</t>
        </is>
      </c>
      <c r="L17" s="57">
        <f>IFERROR(INDEX(Commerciaux!$D$2:$D$3000,MATCH(K17,Commerciaux!$A$2:$A$3000,0)),"")</f>
        <v/>
      </c>
      <c r="M17" s="57" t="inlineStr">
        <is>
          <t>Virbac - Carros</t>
        </is>
      </c>
      <c r="N17" s="40" t="inlineStr">
        <is>
          <t>Présentation de l'organisation SAV Sud-Est</t>
        </is>
      </c>
      <c r="O17" s="57" t="inlineStr">
        <is>
          <t>T026</t>
        </is>
      </c>
      <c r="P17" s="57" t="inlineStr">
        <is>
          <t>Planifié</t>
        </is>
      </c>
      <c r="Q17" s="57" t="inlineStr">
        <is>
          <t>Non</t>
        </is>
      </c>
      <c r="R17" s="40" t="n"/>
    </row>
    <row r="18" ht="15" customHeight="1" s="34">
      <c r="A18" s="57" t="inlineStr">
        <is>
          <t>R017</t>
        </is>
      </c>
      <c r="B18" s="58" t="n">
        <v>46316</v>
      </c>
      <c r="C18" s="64" t="n">
        <v>0.5833333333333334</v>
      </c>
      <c r="D18" s="64" t="n">
        <v>0.6666666666666666</v>
      </c>
      <c r="E18" s="57" t="inlineStr">
        <is>
          <t>Visite sur site</t>
        </is>
      </c>
      <c r="F18" s="57" t="inlineStr">
        <is>
          <t>E026</t>
        </is>
      </c>
      <c r="G18" s="57">
        <f>IFERROR(INDEX(Entreprises!$B$2:$B$3000,MATCH(F18,Entreprises!$A$2:$A$3000,0)),"")</f>
        <v/>
      </c>
      <c r="H18" s="57" t="inlineStr">
        <is>
          <t>C042</t>
        </is>
      </c>
      <c r="I18" s="57">
        <f>IFERROR(INDEX(Contacts!$E$2:$E$3000,MATCH(H18,Contacts!$A$2:$A$3000,0)),"")</f>
        <v/>
      </c>
      <c r="J18" s="57">
        <f>IFERROR(INDEX(Contacts!$I$2:$I$3000,MATCH(H18,Contacts!$A$2:$A$3000,0)),"")</f>
        <v/>
      </c>
      <c r="K18" s="57" t="inlineStr">
        <is>
          <t>U007</t>
        </is>
      </c>
      <c r="L18" s="57">
        <f>IFERROR(INDEX(Commerciaux!$D$2:$D$3000,MATCH(K18,Commerciaux!$A$2:$A$3000,0)),"")</f>
        <v/>
      </c>
      <c r="M18" s="57" t="inlineStr">
        <is>
          <t>Danone - Paris</t>
        </is>
      </c>
      <c r="N18" s="40" t="inlineStr">
        <is>
          <t>Atelier technique caisses carton recyclé</t>
        </is>
      </c>
      <c r="O18" s="57" t="inlineStr">
        <is>
          <t>T041</t>
        </is>
      </c>
      <c r="P18" s="57" t="inlineStr">
        <is>
          <t>Planifié</t>
        </is>
      </c>
      <c r="Q18" s="57" t="inlineStr">
        <is>
          <t>Non</t>
        </is>
      </c>
      <c r="R18" s="40" t="n"/>
    </row>
    <row r="19" ht="15" customHeight="1" s="34">
      <c r="A19" s="57" t="inlineStr">
        <is>
          <t>R018</t>
        </is>
      </c>
      <c r="B19" s="58" t="n">
        <v>46317</v>
      </c>
      <c r="C19" s="64" t="n">
        <v>0.4166666666666667</v>
      </c>
      <c r="D19" s="64" t="n">
        <v>0.5</v>
      </c>
      <c r="E19" s="57" t="inlineStr">
        <is>
          <t>Visite sur site</t>
        </is>
      </c>
      <c r="F19" s="57" t="inlineStr">
        <is>
          <t>E021</t>
        </is>
      </c>
      <c r="G19" s="57">
        <f>IFERROR(INDEX(Entreprises!$B$2:$B$3000,MATCH(F19,Entreprises!$A$2:$A$3000,0)),"")</f>
        <v/>
      </c>
      <c r="H19" s="57" t="inlineStr">
        <is>
          <t>C033</t>
        </is>
      </c>
      <c r="I19" s="57">
        <f>IFERROR(INDEX(Contacts!$E$2:$E$3000,MATCH(H19,Contacts!$A$2:$A$3000,0)),"")</f>
        <v/>
      </c>
      <c r="J19" s="57">
        <f>IFERROR(INDEX(Contacts!$I$2:$I$3000,MATCH(H19,Contacts!$A$2:$A$3000,0)),"")</f>
        <v/>
      </c>
      <c r="K19" s="57" t="inlineStr">
        <is>
          <t>U005</t>
        </is>
      </c>
      <c r="L19" s="57">
        <f>IFERROR(INDEX(Commerciaux!$D$2:$D$3000,MATCH(K19,Commerciaux!$A$2:$A$3000,0)),"")</f>
        <v/>
      </c>
      <c r="M19" s="57" t="inlineStr">
        <is>
          <t>Volterra - Poitiers</t>
        </is>
      </c>
      <c r="N19" s="40" t="inlineStr">
        <is>
          <t>Comité de décision déploiement deux usines</t>
        </is>
      </c>
      <c r="O19" s="57" t="inlineStr">
        <is>
          <t>T032</t>
        </is>
      </c>
      <c r="P19" s="57" t="inlineStr">
        <is>
          <t>Confirmé</t>
        </is>
      </c>
      <c r="Q19" s="57" t="inlineStr">
        <is>
          <t>Non</t>
        </is>
      </c>
      <c r="R19" s="40" t="n"/>
    </row>
    <row r="20" ht="15" customHeight="1" s="34">
      <c r="A20" s="57" t="inlineStr">
        <is>
          <t>R019</t>
        </is>
      </c>
      <c r="B20" s="58" t="n">
        <v>46317</v>
      </c>
      <c r="C20" s="64" t="n">
        <v>0.4583333333333333</v>
      </c>
      <c r="D20" s="64" t="n">
        <v>0.5</v>
      </c>
      <c r="E20" s="57" t="inlineStr">
        <is>
          <t>Visite sur site</t>
        </is>
      </c>
      <c r="F20" s="57" t="inlineStr">
        <is>
          <t>E007</t>
        </is>
      </c>
      <c r="G20" s="57">
        <f>IFERROR(INDEX(Entreprises!$B$2:$B$3000,MATCH(F20,Entreprises!$A$2:$A$3000,0)),"")</f>
        <v/>
      </c>
      <c r="H20" s="57" t="inlineStr">
        <is>
          <t>C011</t>
        </is>
      </c>
      <c r="I20" s="57">
        <f>IFERROR(INDEX(Contacts!$E$2:$E$3000,MATCH(H20,Contacts!$A$2:$A$3000,0)),"")</f>
        <v/>
      </c>
      <c r="J20" s="57">
        <f>IFERROR(INDEX(Contacts!$I$2:$I$3000,MATCH(H20,Contacts!$A$2:$A$3000,0)),"")</f>
        <v/>
      </c>
      <c r="K20" s="57" t="inlineStr">
        <is>
          <t>U002</t>
        </is>
      </c>
      <c r="L20" s="57">
        <f>IFERROR(INDEX(Commerciaux!$D$2:$D$3000,MATCH(K20,Commerciaux!$A$2:$A$3000,0)),"")</f>
        <v/>
      </c>
      <c r="M20" s="57" t="inlineStr">
        <is>
          <t>Nexans - Courbevoie</t>
        </is>
      </c>
      <c r="N20" s="40" t="inlineStr">
        <is>
          <t>Restitution de l'étude d'harmonisation des étiquettes</t>
        </is>
      </c>
      <c r="O20" s="57" t="inlineStr">
        <is>
          <t>T012</t>
        </is>
      </c>
      <c r="P20" s="57" t="inlineStr">
        <is>
          <t>Planifié</t>
        </is>
      </c>
      <c r="Q20" s="57" t="inlineStr">
        <is>
          <t>Non</t>
        </is>
      </c>
      <c r="R20" s="40" t="n"/>
    </row>
    <row r="21" ht="15" customHeight="1" s="34">
      <c r="A21" s="57" t="inlineStr">
        <is>
          <t>R020</t>
        </is>
      </c>
      <c r="B21" s="58" t="n">
        <v>46318</v>
      </c>
      <c r="C21" s="64" t="n">
        <v>0.4166666666666667</v>
      </c>
      <c r="D21" s="64" t="n">
        <v>0.4375</v>
      </c>
      <c r="E21" s="57" t="inlineStr">
        <is>
          <t>Visio</t>
        </is>
      </c>
      <c r="F21" s="57" t="inlineStr">
        <is>
          <t>E018</t>
        </is>
      </c>
      <c r="G21" s="57">
        <f>IFERROR(INDEX(Entreprises!$B$2:$B$3000,MATCH(F21,Entreprises!$A$2:$A$3000,0)),"")</f>
        <v/>
      </c>
      <c r="H21" s="57" t="inlineStr">
        <is>
          <t>C029</t>
        </is>
      </c>
      <c r="I21" s="57">
        <f>IFERROR(INDEX(Contacts!$E$2:$E$3000,MATCH(H21,Contacts!$A$2:$A$3000,0)),"")</f>
        <v/>
      </c>
      <c r="J21" s="57">
        <f>IFERROR(INDEX(Contacts!$I$2:$I$3000,MATCH(H21,Contacts!$A$2:$A$3000,0)),"")</f>
        <v/>
      </c>
      <c r="K21" s="57" t="inlineStr">
        <is>
          <t>U005</t>
        </is>
      </c>
      <c r="L21" s="57">
        <f>IFERROR(INDEX(Commerciaux!$D$2:$D$3000,MATCH(K21,Commerciaux!$A$2:$A$3000,0)),"")</f>
        <v/>
      </c>
      <c r="M21" s="57" t="inlineStr">
        <is>
          <t>Microsoft Teams</t>
        </is>
      </c>
      <c r="N21" s="40" t="inlineStr">
        <is>
          <t>Validation du BAT édition limitée</t>
        </is>
      </c>
      <c r="O21" s="57" t="inlineStr">
        <is>
          <t>T029</t>
        </is>
      </c>
      <c r="P21" s="57" t="inlineStr">
        <is>
          <t>Confirmé</t>
        </is>
      </c>
      <c r="Q21" s="57" t="inlineStr">
        <is>
          <t>Non</t>
        </is>
      </c>
      <c r="R21" s="40" t="n"/>
    </row>
    <row r="22" ht="15" customHeight="1" s="34">
      <c r="A22" s="57" t="inlineStr">
        <is>
          <t>R021</t>
        </is>
      </c>
      <c r="B22" s="58" t="n">
        <v>46321</v>
      </c>
      <c r="C22" s="64" t="n">
        <v>0.3958333333333333</v>
      </c>
      <c r="D22" s="64" t="n">
        <v>0.4583333333333333</v>
      </c>
      <c r="E22" s="57" t="inlineStr">
        <is>
          <t>Visite sur site</t>
        </is>
      </c>
      <c r="F22" s="57" t="inlineStr">
        <is>
          <t>E013</t>
        </is>
      </c>
      <c r="G22" s="57">
        <f>IFERROR(INDEX(Entreprises!$B$2:$B$3000,MATCH(F22,Entreprises!$A$2:$A$3000,0)),"")</f>
        <v/>
      </c>
      <c r="H22" s="57" t="inlineStr">
        <is>
          <t>C021</t>
        </is>
      </c>
      <c r="I22" s="57">
        <f>IFERROR(INDEX(Contacts!$E$2:$E$3000,MATCH(H22,Contacts!$A$2:$A$3000,0)),"")</f>
        <v/>
      </c>
      <c r="J22" s="57">
        <f>IFERROR(INDEX(Contacts!$I$2:$I$3000,MATCH(H22,Contacts!$A$2:$A$3000,0)),"")</f>
        <v/>
      </c>
      <c r="K22" s="57" t="inlineStr">
        <is>
          <t>U004</t>
        </is>
      </c>
      <c r="L22" s="57">
        <f>IFERROR(INDEX(Commerciaux!$D$2:$D$3000,MATCH(K22,Commerciaux!$A$2:$A$3000,0)),"")</f>
        <v/>
      </c>
      <c r="M22" s="57" t="inlineStr">
        <is>
          <t>Boiron - Messimy</t>
        </is>
      </c>
      <c r="N22" s="40" t="inlineStr">
        <is>
          <t>Signature du contrat étuis carton recyclé</t>
        </is>
      </c>
      <c r="O22" s="57" t="inlineStr">
        <is>
          <t>T022</t>
        </is>
      </c>
      <c r="P22" s="57" t="inlineStr">
        <is>
          <t>Confirmé</t>
        </is>
      </c>
      <c r="Q22" s="57" t="inlineStr">
        <is>
          <t>Non</t>
        </is>
      </c>
      <c r="R22" s="40" t="n"/>
    </row>
    <row r="23" ht="15" customHeight="1" s="34">
      <c r="A23" s="57" t="inlineStr">
        <is>
          <t>R022</t>
        </is>
      </c>
      <c r="B23" s="58" t="n">
        <v>46321</v>
      </c>
      <c r="C23" s="64" t="n">
        <v>0.5833333333333334</v>
      </c>
      <c r="D23" s="64" t="n">
        <v>0.6666666666666666</v>
      </c>
      <c r="E23" s="57" t="inlineStr">
        <is>
          <t>Visite sur site</t>
        </is>
      </c>
      <c r="F23" s="57" t="inlineStr">
        <is>
          <t>E027</t>
        </is>
      </c>
      <c r="G23" s="57">
        <f>IFERROR(INDEX(Entreprises!$B$2:$B$3000,MATCH(F23,Entreprises!$A$2:$A$3000,0)),"")</f>
        <v/>
      </c>
      <c r="H23" s="57" t="inlineStr">
        <is>
          <t>C044</t>
        </is>
      </c>
      <c r="I23" s="57">
        <f>IFERROR(INDEX(Contacts!$E$2:$E$3000,MATCH(H23,Contacts!$A$2:$A$3000,0)),"")</f>
        <v/>
      </c>
      <c r="J23" s="57">
        <f>IFERROR(INDEX(Contacts!$I$2:$I$3000,MATCH(H23,Contacts!$A$2:$A$3000,0)),"")</f>
        <v/>
      </c>
      <c r="K23" s="57" t="inlineStr">
        <is>
          <t>U007</t>
        </is>
      </c>
      <c r="L23" s="57">
        <f>IFERROR(INDEX(Commerciaux!$D$2:$D$3000,MATCH(K23,Commerciaux!$A$2:$A$3000,0)),"")</f>
        <v/>
      </c>
      <c r="M23" s="57" t="inlineStr">
        <is>
          <t>L'Oréal - Clichy</t>
        </is>
      </c>
      <c r="N23" s="40" t="inlineStr">
        <is>
          <t>Présentation des concepts coffrets de fêtes 2027</t>
        </is>
      </c>
      <c r="O23" s="57" t="inlineStr">
        <is>
          <t>T042</t>
        </is>
      </c>
      <c r="P23" s="57" t="inlineStr">
        <is>
          <t>Confirmé</t>
        </is>
      </c>
      <c r="Q23" s="57" t="inlineStr">
        <is>
          <t>Non</t>
        </is>
      </c>
      <c r="R23" s="40" t="n"/>
    </row>
    <row r="24" ht="15" customHeight="1" s="34">
      <c r="A24" s="57" t="inlineStr">
        <is>
          <t>R023</t>
        </is>
      </c>
      <c r="B24" s="58" t="n">
        <v>46322</v>
      </c>
      <c r="C24" s="64" t="n">
        <v>0.4166666666666667</v>
      </c>
      <c r="D24" s="64" t="n">
        <v>0.5</v>
      </c>
      <c r="E24" s="57" t="inlineStr">
        <is>
          <t>Visite sur site</t>
        </is>
      </c>
      <c r="F24" s="57" t="inlineStr">
        <is>
          <t>E009</t>
        </is>
      </c>
      <c r="G24" s="57">
        <f>IFERROR(INDEX(Entreprises!$B$2:$B$3000,MATCH(F24,Entreprises!$A$2:$A$3000,0)),"")</f>
        <v/>
      </c>
      <c r="H24" s="57" t="inlineStr">
        <is>
          <t>C015</t>
        </is>
      </c>
      <c r="I24" s="57">
        <f>IFERROR(INDEX(Contacts!$E$2:$E$3000,MATCH(H24,Contacts!$A$2:$A$3000,0)),"")</f>
        <v/>
      </c>
      <c r="J24" s="57">
        <f>IFERROR(INDEX(Contacts!$I$2:$I$3000,MATCH(H24,Contacts!$A$2:$A$3000,0)),"")</f>
        <v/>
      </c>
      <c r="K24" s="57" t="inlineStr">
        <is>
          <t>U003</t>
        </is>
      </c>
      <c r="L24" s="57">
        <f>IFERROR(INDEX(Commerciaux!$D$2:$D$3000,MATCH(K24,Commerciaux!$A$2:$A$3000,0)),"")</f>
        <v/>
      </c>
      <c r="M24" s="57" t="inlineStr">
        <is>
          <t>Laurent-Perrier - Tours-sur-Marne</t>
        </is>
      </c>
      <c r="N24" s="40" t="inlineStr">
        <is>
          <t>Atelier brief créatif gamme rosé</t>
        </is>
      </c>
      <c r="O24" s="57" t="inlineStr">
        <is>
          <t>T015</t>
        </is>
      </c>
      <c r="P24" s="57" t="inlineStr">
        <is>
          <t>Planifié</t>
        </is>
      </c>
      <c r="Q24" s="57" t="inlineStr">
        <is>
          <t>Non</t>
        </is>
      </c>
      <c r="R24" s="40" t="n"/>
    </row>
    <row r="25" ht="15" customHeight="1" s="34">
      <c r="A25" s="57" t="inlineStr">
        <is>
          <t>R024</t>
        </is>
      </c>
      <c r="B25" s="58" t="n">
        <v>46322</v>
      </c>
      <c r="C25" s="64" t="n">
        <v>0.625</v>
      </c>
      <c r="D25" s="64" t="n">
        <v>0.6666666666666666</v>
      </c>
      <c r="E25" s="57" t="inlineStr">
        <is>
          <t>Visite sur site</t>
        </is>
      </c>
      <c r="F25" s="57" t="inlineStr">
        <is>
          <t>E006</t>
        </is>
      </c>
      <c r="G25" s="57">
        <f>IFERROR(INDEX(Entreprises!$B$2:$B$3000,MATCH(F25,Entreprises!$A$2:$A$3000,0)),"")</f>
        <v/>
      </c>
      <c r="H25" s="57" t="inlineStr">
        <is>
          <t>C010</t>
        </is>
      </c>
      <c r="I25" s="57">
        <f>IFERROR(INDEX(Contacts!$E$2:$E$3000,MATCH(H25,Contacts!$A$2:$A$3000,0)),"")</f>
        <v/>
      </c>
      <c r="J25" s="57">
        <f>IFERROR(INDEX(Contacts!$I$2:$I$3000,MATCH(H25,Contacts!$A$2:$A$3000,0)),"")</f>
        <v/>
      </c>
      <c r="K25" s="57" t="inlineStr">
        <is>
          <t>U002</t>
        </is>
      </c>
      <c r="L25" s="57">
        <f>IFERROR(INDEX(Commerciaux!$D$2:$D$3000,MATCH(K25,Commerciaux!$A$2:$A$3000,0)),"")</f>
        <v/>
      </c>
      <c r="M25" s="57" t="inlineStr">
        <is>
          <t>Imerys - Paris</t>
        </is>
      </c>
      <c r="N25" s="40" t="inlineStr">
        <is>
          <t>Premier rendez-vous de qualification</t>
        </is>
      </c>
      <c r="O25" s="57" t="inlineStr">
        <is>
          <t>T011</t>
        </is>
      </c>
      <c r="P25" s="57" t="inlineStr">
        <is>
          <t>Confirmé</t>
        </is>
      </c>
      <c r="Q25" s="57" t="inlineStr">
        <is>
          <t>Non</t>
        </is>
      </c>
      <c r="R25" s="40" t="n"/>
    </row>
    <row r="26" ht="15" customHeight="1" s="34">
      <c r="A26" s="57" t="inlineStr">
        <is>
          <t>R025</t>
        </is>
      </c>
      <c r="B26" s="58" t="n">
        <v>46323</v>
      </c>
      <c r="C26" s="64" t="n">
        <v>0.4166666666666667</v>
      </c>
      <c r="D26" s="64" t="n">
        <v>0.4583333333333333</v>
      </c>
      <c r="E26" s="57" t="inlineStr">
        <is>
          <t>Visite sur site</t>
        </is>
      </c>
      <c r="F26" s="57" t="inlineStr">
        <is>
          <t>E028</t>
        </is>
      </c>
      <c r="G26" s="57">
        <f>IFERROR(INDEX(Entreprises!$B$2:$B$3000,MATCH(F26,Entreprises!$A$2:$A$3000,0)),"")</f>
        <v/>
      </c>
      <c r="H26" s="57" t="inlineStr">
        <is>
          <t>C046</t>
        </is>
      </c>
      <c r="I26" s="57">
        <f>IFERROR(INDEX(Contacts!$E$2:$E$3000,MATCH(H26,Contacts!$A$2:$A$3000,0)),"")</f>
        <v/>
      </c>
      <c r="J26" s="57">
        <f>IFERROR(INDEX(Contacts!$I$2:$I$3000,MATCH(H26,Contacts!$A$2:$A$3000,0)),"")</f>
        <v/>
      </c>
      <c r="K26" s="57" t="inlineStr">
        <is>
          <t>U007</t>
        </is>
      </c>
      <c r="L26" s="57">
        <f>IFERROR(INDEX(Commerciaux!$D$2:$D$3000,MATCH(K26,Commerciaux!$A$2:$A$3000,0)),"")</f>
        <v/>
      </c>
      <c r="M26" s="57" t="inlineStr">
        <is>
          <t>Savencia - Viroflay</t>
        </is>
      </c>
      <c r="N26" s="40" t="inlineStr">
        <is>
          <t>Finalisation du contrat étiquettes export</t>
        </is>
      </c>
      <c r="O26" s="57" t="inlineStr">
        <is>
          <t>T044</t>
        </is>
      </c>
      <c r="P26" s="57" t="inlineStr">
        <is>
          <t>Planifié</t>
        </is>
      </c>
      <c r="Q26" s="57" t="inlineStr">
        <is>
          <t>Non</t>
        </is>
      </c>
      <c r="R26" s="40" t="n"/>
    </row>
    <row r="27" ht="15" customHeight="1" s="34">
      <c r="A27" s="57" t="inlineStr">
        <is>
          <t>R026</t>
        </is>
      </c>
      <c r="B27" s="58" t="n">
        <v>46323</v>
      </c>
      <c r="C27" s="64" t="n">
        <v>0.6041666666666666</v>
      </c>
      <c r="D27" s="64" t="n">
        <v>0.6666666666666666</v>
      </c>
      <c r="E27" s="57" t="inlineStr">
        <is>
          <t>Visite sur site</t>
        </is>
      </c>
      <c r="F27" s="57" t="inlineStr">
        <is>
          <t>E024</t>
        </is>
      </c>
      <c r="G27" s="57">
        <f>IFERROR(INDEX(Entreprises!$B$2:$B$3000,MATCH(F27,Entreprises!$A$2:$A$3000,0)),"")</f>
        <v/>
      </c>
      <c r="H27" s="57" t="inlineStr">
        <is>
          <t>C039</t>
        </is>
      </c>
      <c r="I27" s="57">
        <f>IFERROR(INDEX(Contacts!$E$2:$E$3000,MATCH(H27,Contacts!$A$2:$A$3000,0)),"")</f>
        <v/>
      </c>
      <c r="J27" s="57">
        <f>IFERROR(INDEX(Contacts!$I$2:$I$3000,MATCH(H27,Contacts!$A$2:$A$3000,0)),"")</f>
        <v/>
      </c>
      <c r="K27" s="57" t="inlineStr">
        <is>
          <t>U006</t>
        </is>
      </c>
      <c r="L27" s="57">
        <f>IFERROR(INDEX(Commerciaux!$D$2:$D$3000,MATCH(K27,Commerciaux!$A$2:$A$3000,0)),"")</f>
        <v/>
      </c>
      <c r="M27" s="57" t="inlineStr">
        <is>
          <t>Servier - Suresnes</t>
        </is>
      </c>
      <c r="N27" s="40" t="inlineStr">
        <is>
          <t>Soutenance de l'appel d'offres notices et étuis</t>
        </is>
      </c>
      <c r="O27" s="57" t="inlineStr">
        <is>
          <t>T038</t>
        </is>
      </c>
      <c r="P27" s="57" t="inlineStr">
        <is>
          <t>Confirmé</t>
        </is>
      </c>
      <c r="Q27" s="57" t="inlineStr">
        <is>
          <t>Non</t>
        </is>
      </c>
      <c r="R27" s="40" t="n"/>
    </row>
    <row r="28" ht="15" customHeight="1" s="34">
      <c r="A28" s="57" t="inlineStr">
        <is>
          <t>R027</t>
        </is>
      </c>
      <c r="B28" s="58" t="n">
        <v>46324</v>
      </c>
      <c r="C28" s="64" t="n">
        <v>0.4166666666666667</v>
      </c>
      <c r="D28" s="64" t="n">
        <v>0.4791666666666667</v>
      </c>
      <c r="E28" s="57" t="inlineStr">
        <is>
          <t>Visite sur site</t>
        </is>
      </c>
      <c r="F28" s="57" t="inlineStr">
        <is>
          <t>E020</t>
        </is>
      </c>
      <c r="G28" s="57">
        <f>IFERROR(INDEX(Entreprises!$B$2:$B$3000,MATCH(F28,Entreprises!$A$2:$A$3000,0)),"")</f>
        <v/>
      </c>
      <c r="H28" s="57" t="inlineStr">
        <is>
          <t>C032</t>
        </is>
      </c>
      <c r="I28" s="57">
        <f>IFERROR(INDEX(Contacts!$E$2:$E$3000,MATCH(H28,Contacts!$A$2:$A$3000,0)),"")</f>
        <v/>
      </c>
      <c r="J28" s="57">
        <f>IFERROR(INDEX(Contacts!$I$2:$I$3000,MATCH(H28,Contacts!$A$2:$A$3000,0)),"")</f>
        <v/>
      </c>
      <c r="K28" s="57" t="inlineStr">
        <is>
          <t>U005</t>
        </is>
      </c>
      <c r="L28" s="57">
        <f>IFERROR(INDEX(Commerciaux!$D$2:$D$3000,MATCH(K28,Commerciaux!$A$2:$A$3000,0)),"")</f>
        <v/>
      </c>
      <c r="M28" s="57" t="inlineStr">
        <is>
          <t>Andros - Biars-sur-Cère</t>
        </is>
      </c>
      <c r="N28" s="40" t="inlineStr">
        <is>
          <t>Présentation de l'offre nouvelle gamme</t>
        </is>
      </c>
      <c r="O28" s="57" t="inlineStr">
        <is>
          <t>T031</t>
        </is>
      </c>
      <c r="P28" s="57" t="inlineStr">
        <is>
          <t>Planifié</t>
        </is>
      </c>
      <c r="Q28" s="57" t="inlineStr">
        <is>
          <t>Non</t>
        </is>
      </c>
      <c r="R28" s="40" t="n"/>
    </row>
    <row r="29" ht="15" customHeight="1" s="34">
      <c r="A29" s="57" t="inlineStr">
        <is>
          <t>R028</t>
        </is>
      </c>
      <c r="B29" s="58" t="n">
        <v>46324</v>
      </c>
      <c r="C29" s="64" t="n">
        <v>0.5833333333333334</v>
      </c>
      <c r="D29" s="64" t="n">
        <v>0.6145833333333334</v>
      </c>
      <c r="E29" s="57" t="inlineStr">
        <is>
          <t>Visio</t>
        </is>
      </c>
      <c r="F29" s="57" t="inlineStr">
        <is>
          <t>E015</t>
        </is>
      </c>
      <c r="G29" s="57">
        <f>IFERROR(INDEX(Entreprises!$B$2:$B$3000,MATCH(F29,Entreprises!$A$2:$A$3000,0)),"")</f>
        <v/>
      </c>
      <c r="H29" s="57" t="inlineStr">
        <is>
          <t>C025</t>
        </is>
      </c>
      <c r="I29" s="57">
        <f>IFERROR(INDEX(Contacts!$E$2:$E$3000,MATCH(H29,Contacts!$A$2:$A$3000,0)),"")</f>
        <v/>
      </c>
      <c r="J29" s="57">
        <f>IFERROR(INDEX(Contacts!$I$2:$I$3000,MATCH(H29,Contacts!$A$2:$A$3000,0)),"")</f>
        <v/>
      </c>
      <c r="K29" s="57" t="inlineStr">
        <is>
          <t>U004</t>
        </is>
      </c>
      <c r="L29" s="57">
        <f>IFERROR(INDEX(Commerciaux!$D$2:$D$3000,MATCH(K29,Commerciaux!$A$2:$A$3000,0)),"")</f>
        <v/>
      </c>
      <c r="M29" s="57" t="inlineStr">
        <is>
          <t>Microsoft Teams</t>
        </is>
      </c>
      <c r="N29" s="40" t="inlineStr">
        <is>
          <t>Qualification du besoin étiquettes pour sacs</t>
        </is>
      </c>
      <c r="O29" s="57" t="inlineStr">
        <is>
          <t>T025</t>
        </is>
      </c>
      <c r="P29" s="57" t="inlineStr">
        <is>
          <t>Confirmé</t>
        </is>
      </c>
      <c r="Q29" s="57" t="inlineStr">
        <is>
          <t>Non</t>
        </is>
      </c>
      <c r="R29" s="40" t="n"/>
    </row>
    <row r="30" ht="15" customHeight="1" s="34">
      <c r="A30" s="57" t="inlineStr">
        <is>
          <t>R029</t>
        </is>
      </c>
      <c r="B30" s="58" t="n">
        <v>46325</v>
      </c>
      <c r="C30" s="64" t="n">
        <v>0.4166666666666667</v>
      </c>
      <c r="D30" s="64" t="n">
        <v>0.5</v>
      </c>
      <c r="E30" s="57" t="inlineStr">
        <is>
          <t>Visite sur site</t>
        </is>
      </c>
      <c r="F30" s="57" t="inlineStr">
        <is>
          <t>E030</t>
        </is>
      </c>
      <c r="G30" s="57">
        <f>IFERROR(INDEX(Entreprises!$B$2:$B$3000,MATCH(F30,Entreprises!$A$2:$A$3000,0)),"")</f>
        <v/>
      </c>
      <c r="H30" s="57" t="inlineStr">
        <is>
          <t>C049</t>
        </is>
      </c>
      <c r="I30" s="57">
        <f>IFERROR(INDEX(Contacts!$E$2:$E$3000,MATCH(H30,Contacts!$A$2:$A$3000,0)),"")</f>
        <v/>
      </c>
      <c r="J30" s="57">
        <f>IFERROR(INDEX(Contacts!$I$2:$I$3000,MATCH(H30,Contacts!$A$2:$A$3000,0)),"")</f>
        <v/>
      </c>
      <c r="K30" s="57" t="inlineStr">
        <is>
          <t>U007</t>
        </is>
      </c>
      <c r="L30" s="57">
        <f>IFERROR(INDEX(Commerciaux!$D$2:$D$3000,MATCH(K30,Commerciaux!$A$2:$A$3000,0)),"")</f>
        <v/>
      </c>
      <c r="M30" s="57" t="inlineStr">
        <is>
          <t>Schneider Electric - Rueil-Malmaison</t>
        </is>
      </c>
      <c r="N30" s="40" t="inlineStr">
        <is>
          <t>Comité de sélection emballages sans plastique</t>
        </is>
      </c>
      <c r="O30" s="57" t="inlineStr">
        <is>
          <t>T046</t>
        </is>
      </c>
      <c r="P30" s="57" t="inlineStr">
        <is>
          <t>Confirmé</t>
        </is>
      </c>
      <c r="Q30" s="57" t="inlineStr">
        <is>
          <t>Non</t>
        </is>
      </c>
      <c r="R30" s="40" t="n"/>
    </row>
    <row r="31" ht="15" customHeight="1" s="34">
      <c r="A31" s="57" t="inlineStr">
        <is>
          <t>R030</t>
        </is>
      </c>
      <c r="B31" s="58" t="n">
        <v>46328</v>
      </c>
      <c r="C31" s="64" t="n">
        <v>0.4166666666666667</v>
      </c>
      <c r="D31" s="64" t="n">
        <v>0.4791666666666667</v>
      </c>
      <c r="E31" s="57" t="inlineStr">
        <is>
          <t>Visite sur site</t>
        </is>
      </c>
      <c r="F31" s="57" t="inlineStr">
        <is>
          <t>E001</t>
        </is>
      </c>
      <c r="G31" s="57">
        <f>IFERROR(INDEX(Entreprises!$B$2:$B$3000,MATCH(F31,Entreprises!$A$2:$A$3000,0)),"")</f>
        <v/>
      </c>
      <c r="H31" s="57" t="inlineStr">
        <is>
          <t>C002</t>
        </is>
      </c>
      <c r="I31" s="57">
        <f>IFERROR(INDEX(Contacts!$E$2:$E$3000,MATCH(H31,Contacts!$A$2:$A$3000,0)),"")</f>
        <v/>
      </c>
      <c r="J31" s="57">
        <f>IFERROR(INDEX(Contacts!$I$2:$I$3000,MATCH(H31,Contacts!$A$2:$A$3000,0)),"")</f>
        <v/>
      </c>
      <c r="K31" s="57" t="inlineStr">
        <is>
          <t>U002</t>
        </is>
      </c>
      <c r="L31" s="57">
        <f>IFERROR(INDEX(Commerciaux!$D$2:$D$3000,MATCH(K31,Commerciaux!$A$2:$A$3000,0)),"")</f>
        <v/>
      </c>
      <c r="M31" s="57" t="inlineStr">
        <is>
          <t>Bonduelle - Villeneuve-d'Ascq</t>
        </is>
      </c>
      <c r="N31" s="40" t="inlineStr">
        <is>
          <t>Revue des échantillons papier certifié</t>
        </is>
      </c>
      <c r="O31" s="57" t="inlineStr">
        <is>
          <t>T002</t>
        </is>
      </c>
      <c r="P31" s="57" t="inlineStr">
        <is>
          <t>Planifié</t>
        </is>
      </c>
      <c r="Q31" s="57" t="inlineStr">
        <is>
          <t>Non</t>
        </is>
      </c>
      <c r="R31" s="40" t="n"/>
    </row>
    <row r="32" ht="15" customHeight="1" s="34">
      <c r="A32" s="57" t="inlineStr">
        <is>
          <t>R031</t>
        </is>
      </c>
      <c r="B32" s="58" t="n">
        <v>46329</v>
      </c>
      <c r="C32" s="64" t="n">
        <v>0.4166666666666667</v>
      </c>
      <c r="D32" s="64" t="n">
        <v>0.4583333333333333</v>
      </c>
      <c r="E32" s="57" t="inlineStr">
        <is>
          <t>Visite sur site</t>
        </is>
      </c>
      <c r="F32" s="57" t="inlineStr">
        <is>
          <t>E029</t>
        </is>
      </c>
      <c r="G32" s="57">
        <f>IFERROR(INDEX(Entreprises!$B$2:$B$3000,MATCH(F32,Entreprises!$A$2:$A$3000,0)),"")</f>
        <v/>
      </c>
      <c r="H32" s="57" t="inlineStr">
        <is>
          <t>C048</t>
        </is>
      </c>
      <c r="I32" s="57">
        <f>IFERROR(INDEX(Contacts!$E$2:$E$3000,MATCH(H32,Contacts!$A$2:$A$3000,0)),"")</f>
        <v/>
      </c>
      <c r="J32" s="57">
        <f>IFERROR(INDEX(Contacts!$I$2:$I$3000,MATCH(H32,Contacts!$A$2:$A$3000,0)),"")</f>
        <v/>
      </c>
      <c r="K32" s="57" t="inlineStr">
        <is>
          <t>U007</t>
        </is>
      </c>
      <c r="L32" s="57">
        <f>IFERROR(INDEX(Commerciaux!$D$2:$D$3000,MATCH(K32,Commerciaux!$A$2:$A$3000,0)),"")</f>
        <v/>
      </c>
      <c r="M32" s="57" t="inlineStr">
        <is>
          <t>Saint-Gobain - Courbevoie</t>
        </is>
      </c>
      <c r="N32" s="40" t="inlineStr">
        <is>
          <t>Rendez-vous de découverte du besoin distribution</t>
        </is>
      </c>
      <c r="O32" s="57" t="inlineStr">
        <is>
          <t>T045</t>
        </is>
      </c>
      <c r="P32" s="57" t="inlineStr">
        <is>
          <t>Confirmé</t>
        </is>
      </c>
      <c r="Q32" s="57" t="inlineStr">
        <is>
          <t>Non</t>
        </is>
      </c>
      <c r="R32" s="40" t="n"/>
    </row>
    <row r="33" ht="15" customHeight="1" s="34">
      <c r="A33" s="57" t="inlineStr">
        <is>
          <t>R032</t>
        </is>
      </c>
      <c r="B33" s="58" t="n">
        <v>46330</v>
      </c>
      <c r="C33" s="64" t="n">
        <v>0.3958333333333333</v>
      </c>
      <c r="D33" s="64" t="n">
        <v>0.4583333333333333</v>
      </c>
      <c r="E33" s="57" t="inlineStr">
        <is>
          <t>Visite sur site</t>
        </is>
      </c>
      <c r="F33" s="57" t="inlineStr">
        <is>
          <t>E012</t>
        </is>
      </c>
      <c r="G33" s="57">
        <f>IFERROR(INDEX(Entreprises!$B$2:$B$3000,MATCH(F33,Entreprises!$A$2:$A$3000,0)),"")</f>
        <v/>
      </c>
      <c r="H33" s="57" t="inlineStr">
        <is>
          <t>C019</t>
        </is>
      </c>
      <c r="I33" s="57">
        <f>IFERROR(INDEX(Contacts!$E$2:$E$3000,MATCH(H33,Contacts!$A$2:$A$3000,0)),"")</f>
        <v/>
      </c>
      <c r="J33" s="57">
        <f>IFERROR(INDEX(Contacts!$I$2:$I$3000,MATCH(H33,Contacts!$A$2:$A$3000,0)),"")</f>
        <v/>
      </c>
      <c r="K33" s="57" t="inlineStr">
        <is>
          <t>U004</t>
        </is>
      </c>
      <c r="L33" s="57">
        <f>IFERROR(INDEX(Commerciaux!$D$2:$D$3000,MATCH(K33,Commerciaux!$A$2:$A$3000,0)),"")</f>
        <v/>
      </c>
      <c r="M33" s="57" t="inlineStr">
        <is>
          <t>bioMérieux - Marcy-l'Étoile</t>
        </is>
      </c>
      <c r="N33" s="40" t="inlineStr">
        <is>
          <t>Point achats annuel</t>
        </is>
      </c>
      <c r="O33" s="57" t="n"/>
      <c r="P33" s="57" t="inlineStr">
        <is>
          <t>Planifié</t>
        </is>
      </c>
      <c r="Q33" s="57" t="inlineStr">
        <is>
          <t>Non</t>
        </is>
      </c>
      <c r="R33" s="40" t="n"/>
    </row>
    <row r="34" ht="15" customHeight="1" s="34">
      <c r="A34" s="57" t="inlineStr">
        <is>
          <t>R033</t>
        </is>
      </c>
      <c r="B34" s="58" t="n">
        <v>46331</v>
      </c>
      <c r="C34" s="64" t="n">
        <v>0.4166666666666667</v>
      </c>
      <c r="D34" s="64" t="n">
        <v>0.4791666666666667</v>
      </c>
      <c r="E34" s="57" t="inlineStr">
        <is>
          <t>Visite sur site</t>
        </is>
      </c>
      <c r="F34" s="57" t="inlineStr">
        <is>
          <t>E002</t>
        </is>
      </c>
      <c r="G34" s="57">
        <f>IFERROR(INDEX(Entreprises!$B$2:$B$3000,MATCH(F34,Entreprises!$A$2:$A$3000,0)),"")</f>
        <v/>
      </c>
      <c r="H34" s="57" t="inlineStr">
        <is>
          <t>C003</t>
        </is>
      </c>
      <c r="I34" s="57">
        <f>IFERROR(INDEX(Contacts!$E$2:$E$3000,MATCH(H34,Contacts!$A$2:$A$3000,0)),"")</f>
        <v/>
      </c>
      <c r="J34" s="57">
        <f>IFERROR(INDEX(Contacts!$I$2:$I$3000,MATCH(H34,Contacts!$A$2:$A$3000,0)),"")</f>
        <v/>
      </c>
      <c r="K34" s="57" t="inlineStr">
        <is>
          <t>U002</t>
        </is>
      </c>
      <c r="L34" s="57">
        <f>IFERROR(INDEX(Commerciaux!$D$2:$D$3000,MATCH(K34,Commerciaux!$A$2:$A$3000,0)),"")</f>
        <v/>
      </c>
      <c r="M34" s="57" t="inlineStr">
        <is>
          <t>Lesaffre - Marcq-en-Barœul</t>
        </is>
      </c>
      <c r="N34" s="40" t="inlineStr">
        <is>
          <t>Revue annuelle achats</t>
        </is>
      </c>
      <c r="O34" s="57" t="n"/>
      <c r="P34" s="57" t="inlineStr">
        <is>
          <t>Planifié</t>
        </is>
      </c>
      <c r="Q34" s="57" t="inlineStr">
        <is>
          <t>Non</t>
        </is>
      </c>
      <c r="R34" s="40" t="n"/>
    </row>
    <row r="35" ht="15" customHeight="1" s="34">
      <c r="A35" s="57" t="inlineStr">
        <is>
          <t>R034</t>
        </is>
      </c>
      <c r="B35" s="58" t="n">
        <v>46331</v>
      </c>
      <c r="C35" s="64" t="n">
        <v>0.6041666666666666</v>
      </c>
      <c r="D35" s="64" t="n">
        <v>0.6666666666666666</v>
      </c>
      <c r="E35" s="57" t="inlineStr">
        <is>
          <t>Visite sur site</t>
        </is>
      </c>
      <c r="F35" s="57" t="inlineStr">
        <is>
          <t>E022</t>
        </is>
      </c>
      <c r="G35" s="57">
        <f>IFERROR(INDEX(Entreprises!$B$2:$B$3000,MATCH(F35,Entreprises!$A$2:$A$3000,0)),"")</f>
        <v/>
      </c>
      <c r="H35" s="57" t="inlineStr">
        <is>
          <t>C035</t>
        </is>
      </c>
      <c r="I35" s="57">
        <f>IFERROR(INDEX(Contacts!$E$2:$E$3000,MATCH(H35,Contacts!$A$2:$A$3000,0)),"")</f>
        <v/>
      </c>
      <c r="J35" s="57">
        <f>IFERROR(INDEX(Contacts!$I$2:$I$3000,MATCH(H35,Contacts!$A$2:$A$3000,0)),"")</f>
        <v/>
      </c>
      <c r="K35" s="57" t="inlineStr">
        <is>
          <t>U006</t>
        </is>
      </c>
      <c r="L35" s="57">
        <f>IFERROR(INDEX(Commerciaux!$D$2:$D$3000,MATCH(K35,Commerciaux!$A$2:$A$3000,0)),"")</f>
        <v/>
      </c>
      <c r="M35" s="57" t="inlineStr">
        <is>
          <t>Sanofi - Paris</t>
        </is>
      </c>
      <c r="N35" s="40" t="inlineStr">
        <is>
          <t>Lancement de la consultation accord-cadre 2027</t>
        </is>
      </c>
      <c r="O35" s="57" t="inlineStr">
        <is>
          <t>T035</t>
        </is>
      </c>
      <c r="P35" s="57" t="inlineStr">
        <is>
          <t>Planifié</t>
        </is>
      </c>
      <c r="Q35" s="57" t="inlineStr">
        <is>
          <t>Non</t>
        </is>
      </c>
      <c r="R35" s="40" t="n"/>
    </row>
    <row r="36" ht="15" customHeight="1" s="34">
      <c r="A36" s="57" t="inlineStr">
        <is>
          <t>R035</t>
        </is>
      </c>
      <c r="B36" s="58" t="n">
        <v>46332</v>
      </c>
      <c r="C36" s="64" t="n">
        <v>0.4166666666666667</v>
      </c>
      <c r="D36" s="64" t="n">
        <v>0.5</v>
      </c>
      <c r="E36" s="57" t="inlineStr">
        <is>
          <t>Visite sur site</t>
        </is>
      </c>
      <c r="F36" s="57" t="inlineStr">
        <is>
          <t>E003</t>
        </is>
      </c>
      <c r="G36" s="57">
        <f>IFERROR(INDEX(Entreprises!$B$2:$B$3000,MATCH(F36,Entreprises!$A$2:$A$3000,0)),"")</f>
        <v/>
      </c>
      <c r="H36" s="57" t="inlineStr">
        <is>
          <t>C006</t>
        </is>
      </c>
      <c r="I36" s="57">
        <f>IFERROR(INDEX(Contacts!$E$2:$E$3000,MATCH(H36,Contacts!$A$2:$A$3000,0)),"")</f>
        <v/>
      </c>
      <c r="J36" s="57">
        <f>IFERROR(INDEX(Contacts!$I$2:$I$3000,MATCH(H36,Contacts!$A$2:$A$3000,0)),"")</f>
        <v/>
      </c>
      <c r="K36" s="57" t="inlineStr">
        <is>
          <t>U002</t>
        </is>
      </c>
      <c r="L36" s="57">
        <f>IFERROR(INDEX(Commerciaux!$D$2:$D$3000,MATCH(K36,Commerciaux!$A$2:$A$3000,0)),"")</f>
        <v/>
      </c>
      <c r="M36" s="57" t="inlineStr">
        <is>
          <t>Guerbet - Villepinte</t>
        </is>
      </c>
      <c r="N36" s="40" t="inlineStr">
        <is>
          <t>Atelier notices multilingues</t>
        </is>
      </c>
      <c r="O36" s="57" t="inlineStr">
        <is>
          <t>T006</t>
        </is>
      </c>
      <c r="P36" s="57" t="inlineStr">
        <is>
          <t>Planifié</t>
        </is>
      </c>
      <c r="Q36" s="57" t="inlineStr">
        <is>
          <t>Non</t>
        </is>
      </c>
      <c r="R36" s="40" t="n"/>
    </row>
    <row r="37" ht="15" customHeight="1" s="34">
      <c r="A37" s="57" t="inlineStr">
        <is>
          <t>R036</t>
        </is>
      </c>
      <c r="B37" s="58" t="n">
        <v>46335</v>
      </c>
      <c r="C37" s="64" t="n">
        <v>0.4166666666666667</v>
      </c>
      <c r="D37" s="64" t="n">
        <v>0.4791666666666667</v>
      </c>
      <c r="E37" s="57" t="inlineStr">
        <is>
          <t>Visite sur site</t>
        </is>
      </c>
      <c r="F37" s="57" t="inlineStr">
        <is>
          <t>E017</t>
        </is>
      </c>
      <c r="G37" s="57">
        <f>IFERROR(INDEX(Entreprises!$B$2:$B$3000,MATCH(F37,Entreprises!$A$2:$A$3000,0)),"")</f>
        <v/>
      </c>
      <c r="H37" s="57" t="inlineStr">
        <is>
          <t>C028</t>
        </is>
      </c>
      <c r="I37" s="57">
        <f>IFERROR(INDEX(Contacts!$E$2:$E$3000,MATCH(H37,Contacts!$A$2:$A$3000,0)),"")</f>
        <v/>
      </c>
      <c r="J37" s="57">
        <f>IFERROR(INDEX(Contacts!$I$2:$I$3000,MATCH(H37,Contacts!$A$2:$A$3000,0)),"")</f>
        <v/>
      </c>
      <c r="K37" s="57" t="inlineStr">
        <is>
          <t>U005</t>
        </is>
      </c>
      <c r="L37" s="57">
        <f>IFERROR(INDEX(Commerciaux!$D$2:$D$3000,MATCH(K37,Commerciaux!$A$2:$A$3000,0)),"")</f>
        <v/>
      </c>
      <c r="M37" s="57" t="inlineStr">
        <is>
          <t>Rémy Cointreau - Cognac</t>
        </is>
      </c>
      <c r="N37" s="40" t="inlineStr">
        <is>
          <t>Présentation du prototype de coffret réutilisable</t>
        </is>
      </c>
      <c r="O37" s="57" t="inlineStr">
        <is>
          <t>T027</t>
        </is>
      </c>
      <c r="P37" s="57" t="inlineStr">
        <is>
          <t>Planifié</t>
        </is>
      </c>
      <c r="Q37" s="57" t="inlineStr">
        <is>
          <t>Non</t>
        </is>
      </c>
      <c r="R37" s="40" t="n"/>
    </row>
    <row r="38" ht="15" customHeight="1" s="34">
      <c r="A38" s="57" t="inlineStr">
        <is>
          <t>R037</t>
        </is>
      </c>
      <c r="B38" s="58" t="n">
        <v>46336</v>
      </c>
      <c r="C38" s="64" t="n">
        <v>0.4166666666666667</v>
      </c>
      <c r="D38" s="64" t="n">
        <v>0.4791666666666667</v>
      </c>
      <c r="E38" s="57" t="inlineStr">
        <is>
          <t>Visite sur site</t>
        </is>
      </c>
      <c r="F38" s="57" t="inlineStr">
        <is>
          <t>E008</t>
        </is>
      </c>
      <c r="G38" s="57">
        <f>IFERROR(INDEX(Entreprises!$B$2:$B$3000,MATCH(F38,Entreprises!$A$2:$A$3000,0)),"")</f>
        <v/>
      </c>
      <c r="H38" s="57" t="inlineStr">
        <is>
          <t>C012</t>
        </is>
      </c>
      <c r="I38" s="57">
        <f>IFERROR(INDEX(Contacts!$E$2:$E$3000,MATCH(H38,Contacts!$A$2:$A$3000,0)),"")</f>
        <v/>
      </c>
      <c r="J38" s="57">
        <f>IFERROR(INDEX(Contacts!$I$2:$I$3000,MATCH(H38,Contacts!$A$2:$A$3000,0)),"")</f>
        <v/>
      </c>
      <c r="K38" s="57" t="inlineStr">
        <is>
          <t>U003</t>
        </is>
      </c>
      <c r="L38" s="57">
        <f>IFERROR(INDEX(Commerciaux!$D$2:$D$3000,MATCH(K38,Commerciaux!$A$2:$A$3000,0)),"")</f>
        <v/>
      </c>
      <c r="M38" s="57" t="inlineStr">
        <is>
          <t>Moët &amp; Chandon - Épernay</t>
        </is>
      </c>
      <c r="N38" s="40" t="inlineStr">
        <is>
          <t>Bilan de production des coffrets de fin d'année</t>
        </is>
      </c>
      <c r="O38" s="57" t="n"/>
      <c r="P38" s="57" t="inlineStr">
        <is>
          <t>Planifié</t>
        </is>
      </c>
      <c r="Q38" s="57" t="inlineStr">
        <is>
          <t>Non</t>
        </is>
      </c>
      <c r="R38" s="40" t="n"/>
    </row>
    <row r="39" ht="15" customHeight="1" s="34">
      <c r="A39" s="57" t="inlineStr">
        <is>
          <t>R038</t>
        </is>
      </c>
      <c r="B39" s="58" t="n">
        <v>46338</v>
      </c>
      <c r="C39" s="64" t="n">
        <v>0.5833333333333334</v>
      </c>
      <c r="D39" s="64" t="n">
        <v>0.6145833333333334</v>
      </c>
      <c r="E39" s="57" t="inlineStr">
        <is>
          <t>Visio</t>
        </is>
      </c>
      <c r="F39" s="57" t="inlineStr">
        <is>
          <t>E026</t>
        </is>
      </c>
      <c r="G39" s="57">
        <f>IFERROR(INDEX(Entreprises!$B$2:$B$3000,MATCH(F39,Entreprises!$A$2:$A$3000,0)),"")</f>
        <v/>
      </c>
      <c r="H39" s="57" t="inlineStr">
        <is>
          <t>C043</t>
        </is>
      </c>
      <c r="I39" s="57">
        <f>IFERROR(INDEX(Contacts!$E$2:$E$3000,MATCH(H39,Contacts!$A$2:$A$3000,0)),"")</f>
        <v/>
      </c>
      <c r="J39" s="57">
        <f>IFERROR(INDEX(Contacts!$I$2:$I$3000,MATCH(H39,Contacts!$A$2:$A$3000,0)),"")</f>
        <v/>
      </c>
      <c r="K39" s="57" t="inlineStr">
        <is>
          <t>U007</t>
        </is>
      </c>
      <c r="L39" s="57">
        <f>IFERROR(INDEX(Commerciaux!$D$2:$D$3000,MATCH(K39,Commerciaux!$A$2:$A$3000,0)),"")</f>
        <v/>
      </c>
      <c r="M39" s="57" t="inlineStr">
        <is>
          <t>Microsoft Teams</t>
        </is>
      </c>
      <c r="N39" s="40" t="inlineStr">
        <is>
          <t>Prévisions de volumes 2027</t>
        </is>
      </c>
      <c r="O39" s="57" t="n"/>
      <c r="P39" s="57" t="inlineStr">
        <is>
          <t>Planifié</t>
        </is>
      </c>
      <c r="Q39" s="57" t="inlineStr">
        <is>
          <t>Non</t>
        </is>
      </c>
      <c r="R39" s="40" t="n"/>
    </row>
    <row r="40" ht="15" customHeight="1" s="34">
      <c r="A40" s="57" t="inlineStr">
        <is>
          <t>R039</t>
        </is>
      </c>
      <c r="B40" s="58" t="n">
        <v>46339</v>
      </c>
      <c r="C40" s="64" t="n">
        <v>0.4166666666666667</v>
      </c>
      <c r="D40" s="64" t="n">
        <v>0.5</v>
      </c>
      <c r="E40" s="57" t="inlineStr">
        <is>
          <t>Visite sur site</t>
        </is>
      </c>
      <c r="F40" s="57" t="inlineStr">
        <is>
          <t>E021</t>
        </is>
      </c>
      <c r="G40" s="57">
        <f>IFERROR(INDEX(Entreprises!$B$2:$B$3000,MATCH(F40,Entreprises!$A$2:$A$3000,0)),"")</f>
        <v/>
      </c>
      <c r="H40" s="57" t="inlineStr">
        <is>
          <t>C034</t>
        </is>
      </c>
      <c r="I40" s="57">
        <f>IFERROR(INDEX(Contacts!$E$2:$E$3000,MATCH(H40,Contacts!$A$2:$A$3000,0)),"")</f>
        <v/>
      </c>
      <c r="J40" s="57">
        <f>IFERROR(INDEX(Contacts!$I$2:$I$3000,MATCH(H40,Contacts!$A$2:$A$3000,0)),"")</f>
        <v/>
      </c>
      <c r="K40" s="57" t="inlineStr">
        <is>
          <t>U005</t>
        </is>
      </c>
      <c r="L40" s="57">
        <f>IFERROR(INDEX(Commerciaux!$D$2:$D$3000,MATCH(K40,Commerciaux!$A$2:$A$3000,0)),"")</f>
        <v/>
      </c>
      <c r="M40" s="57" t="inlineStr">
        <is>
          <t>Volterra - Poitiers</t>
        </is>
      </c>
      <c r="N40" s="40" t="inlineStr">
        <is>
          <t>Visite d'industrialisation de la première usine</t>
        </is>
      </c>
      <c r="O40" s="57" t="inlineStr">
        <is>
          <t>T032</t>
        </is>
      </c>
      <c r="P40" s="57" t="inlineStr">
        <is>
          <t>Planifié</t>
        </is>
      </c>
      <c r="Q40" s="57" t="inlineStr">
        <is>
          <t>Non</t>
        </is>
      </c>
      <c r="R40" s="40" t="n"/>
    </row>
  </sheetData>
  <dataValidations count="6">
    <dataValidation sqref="E2:E240" showDropDown="0" showInputMessage="0" showErrorMessage="1" allowBlank="1" errorTitle="Valeur non autorisée" error="Choisissez une valeur dans la liste." type="list" errorStyle="stop" operator="between">
      <formula1>Paramètres!$K$7:$K$9</formula1>
      <formula2>0</formula2>
    </dataValidation>
    <dataValidation sqref="P2:P240" showDropDown="0" showInputMessage="0" showErrorMessage="1" allowBlank="1" errorTitle="Valeur non autorisée" error="Choisissez une valeur dans la liste." type="list" errorStyle="stop" operator="between">
      <formula1>Paramètres!$L$7:$L$11</formula1>
      <formula2>0</formula2>
    </dataValidation>
    <dataValidation sqref="Q2:Q240" showDropDown="0" showInputMessage="0" showErrorMessage="1" allowBlank="1" errorTitle="Valeur non autorisée" error="Choisissez une valeur dans la liste." type="list" errorStyle="stop" operator="between">
      <formula1>Paramètres!$V$7:$V$8</formula1>
      <formula2>0</formula2>
    </dataValidation>
    <dataValidation sqref="F2:F240" showDropDown="0" showInputMessage="0" showErrorMessage="1" allowBlank="1" errorTitle="Valeur non autorisée" error="Choisissez une valeur dans la liste." type="list" errorStyle="stop" operator="between">
      <formula1>Entreprises!$A$2:$A$3000</formula1>
      <formula2>0</formula2>
    </dataValidation>
    <dataValidation sqref="H2:H240" showDropDown="0" showInputMessage="0" showErrorMessage="1" allowBlank="1" errorTitle="Valeur non autorisée" error="Choisissez une valeur dans la liste." type="list" errorStyle="stop" operator="between">
      <formula1>Contacts!$A$2:$A$3000</formula1>
      <formula2>0</formula2>
    </dataValidation>
    <dataValidation sqref="K2:K240" showDropDown="0" showInputMessage="0" showErrorMessage="1" allowBlank="1" errorTitle="Valeur non autorisée" error="Choisissez une valeur dans la liste." type="list" errorStyle="stop" operator="between">
      <formula1>Commerciaux!$A$2:$A$3000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0.xml><?xml version="1.0" encoding="utf-8"?>
<worksheet xmlns="http://schemas.openxmlformats.org/spreadsheetml/2006/main">
  <sheetPr filterMode="0">
    <outlinePr summaryBelow="1" summaryRight="1"/>
    <pageSetUpPr fitToPage="0"/>
  </sheetPr>
  <dimension ref="A1:N1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3" min="1" max="1"/>
    <col width="44" customWidth="1" style="33" min="2" max="2"/>
    <col width="12" customWidth="1" style="33" min="3" max="3"/>
    <col width="20" customWidth="1" style="33" min="4" max="4"/>
    <col width="11" customWidth="1" style="33" min="5" max="5"/>
    <col width="20" customWidth="1" style="33" min="6" max="6"/>
    <col width="18" customWidth="1" style="33" min="7" max="7"/>
    <col width="10" customWidth="1" style="33" min="8" max="8"/>
    <col width="16" customWidth="1" style="33" min="9" max="9"/>
    <col width="13" customWidth="1" style="33" min="10" max="12"/>
    <col width="70" customWidth="1" style="33" min="13" max="13"/>
    <col width="28" customWidth="1" style="33" min="14" max="14"/>
  </cols>
  <sheetData>
    <row r="1" ht="31.5" customHeight="1" s="34">
      <c r="A1" s="55" t="inlineStr">
        <is>
          <t>ID ticket</t>
        </is>
      </c>
      <c r="B1" s="55" t="inlineStr">
        <is>
          <t>Objet</t>
        </is>
      </c>
      <c r="C1" s="55" t="inlineStr">
        <is>
          <t>ID entreprise</t>
        </is>
      </c>
      <c r="D1" s="56" t="inlineStr">
        <is>
          <t>Entreprise</t>
        </is>
      </c>
      <c r="E1" s="55" t="inlineStr">
        <is>
          <t>ID contact</t>
        </is>
      </c>
      <c r="F1" s="56" t="inlineStr">
        <is>
          <t>Contact</t>
        </is>
      </c>
      <c r="G1" s="55" t="inlineStr">
        <is>
          <t>Catégorie</t>
        </is>
      </c>
      <c r="H1" s="55" t="inlineStr">
        <is>
          <t>Priorité</t>
        </is>
      </c>
      <c r="I1" s="55" t="inlineStr">
        <is>
          <t>Statut</t>
        </is>
      </c>
      <c r="J1" s="55" t="inlineStr">
        <is>
          <t>Date de création</t>
        </is>
      </c>
      <c r="K1" s="55" t="inlineStr">
        <is>
          <t>Date de clôture</t>
        </is>
      </c>
      <c r="L1" s="56" t="inlineStr">
        <is>
          <t>Délai de résolution (jours)</t>
        </is>
      </c>
      <c r="M1" s="55" t="inlineStr">
        <is>
          <t>Description</t>
        </is>
      </c>
      <c r="N1" s="55" t="inlineStr">
        <is>
          <t>Responsable du ticket</t>
        </is>
      </c>
    </row>
    <row r="2" ht="23.85" customHeight="1" s="34">
      <c r="A2" s="57" t="inlineStr">
        <is>
          <t>K001</t>
        </is>
      </c>
      <c r="B2" s="57" t="inlineStr">
        <is>
          <t>Retard de livraison étiquettes (commande de septembre)</t>
        </is>
      </c>
      <c r="C2" s="57" t="inlineStr">
        <is>
          <t>E001</t>
        </is>
      </c>
      <c r="D2" s="57">
        <f>IFERROR(INDEX(Entreprises!$B$2:$B$3000,MATCH(C2,Entreprises!$A$2:$A$3000,0)),"")</f>
        <v/>
      </c>
      <c r="E2" s="57" t="inlineStr">
        <is>
          <t>C001</t>
        </is>
      </c>
      <c r="F2" s="57">
        <f>IFERROR(INDEX(Contacts!$E$2:$E$3000,MATCH(E2,Contacts!$A$2:$A$3000,0)),"")</f>
        <v/>
      </c>
      <c r="G2" s="57" t="inlineStr">
        <is>
          <t>Livraison</t>
        </is>
      </c>
      <c r="H2" s="57" t="inlineStr">
        <is>
          <t>Haute</t>
        </is>
      </c>
      <c r="I2" s="57" t="inlineStr">
        <is>
          <t>En cours</t>
        </is>
      </c>
      <c r="J2" s="58" t="n">
        <v>46289</v>
      </c>
      <c r="K2" s="58" t="n"/>
      <c r="L2" s="60">
        <f>IF(K2="","",K2-J2)</f>
        <v/>
      </c>
      <c r="M2" s="40" t="inlineStr">
        <is>
          <t>Livraison prévue le 15/09, réceptionnée le 24/09. Impact client : décalage d'une production. Analyse de cause en cours côté logistique (saturation transporteur).</t>
        </is>
      </c>
      <c r="N2" s="57" t="inlineStr">
        <is>
          <t>Lucie Martin - Service client</t>
        </is>
      </c>
    </row>
    <row r="3" ht="23.85" customHeight="1" s="34">
      <c r="A3" s="57" t="inlineStr">
        <is>
          <t>K002</t>
        </is>
      </c>
      <c r="B3" s="57" t="inlineStr">
        <is>
          <t>Non-conformité d'impression du numéro de lot</t>
        </is>
      </c>
      <c r="C3" s="57" t="inlineStr">
        <is>
          <t>E003</t>
        </is>
      </c>
      <c r="D3" s="57">
        <f>IFERROR(INDEX(Entreprises!$B$2:$B$3000,MATCH(C3,Entreprises!$A$2:$A$3000,0)),"")</f>
        <v/>
      </c>
      <c r="E3" s="57" t="inlineStr">
        <is>
          <t>C005</t>
        </is>
      </c>
      <c r="F3" s="57">
        <f>IFERROR(INDEX(Contacts!$E$2:$E$3000,MATCH(E3,Contacts!$A$2:$A$3000,0)),"")</f>
        <v/>
      </c>
      <c r="G3" s="57" t="inlineStr">
        <is>
          <t>Qualité produit</t>
        </is>
      </c>
      <c r="H3" s="57" t="inlineStr">
        <is>
          <t>Critique</t>
        </is>
      </c>
      <c r="I3" s="57" t="inlineStr">
        <is>
          <t>Fermé</t>
        </is>
      </c>
      <c r="J3" s="58" t="n">
        <v>46191</v>
      </c>
      <c r="K3" s="58" t="n">
        <v>46233</v>
      </c>
      <c r="L3" s="60">
        <f>IF(K3="","",K3-J3)</f>
        <v/>
      </c>
      <c r="M3" s="40" t="inlineStr">
        <is>
          <t>Numéro de lot illisible sur environ 2 % des étuis. Lot remplacé sous six jours. Rapport 8D transmis en version provisoire, version finale attendue par le client.</t>
        </is>
      </c>
      <c r="N3" s="57" t="inlineStr">
        <is>
          <t>Karim Haddou - Qualité</t>
        </is>
      </c>
    </row>
    <row r="4" ht="23.85" customHeight="1" s="34">
      <c r="A4" s="57" t="inlineStr">
        <is>
          <t>K003</t>
        </is>
      </c>
      <c r="B4" s="57" t="inlineStr">
        <is>
          <t>Défaut de pliage sur étuis dermo-cosmétiques</t>
        </is>
      </c>
      <c r="C4" s="57" t="inlineStr">
        <is>
          <t>E019</t>
        </is>
      </c>
      <c r="D4" s="57">
        <f>IFERROR(INDEX(Entreprises!$B$2:$B$3000,MATCH(C4,Entreprises!$A$2:$A$3000,0)),"")</f>
        <v/>
      </c>
      <c r="E4" s="57" t="inlineStr">
        <is>
          <t>C031</t>
        </is>
      </c>
      <c r="F4" s="57">
        <f>IFERROR(INDEX(Contacts!$E$2:$E$3000,MATCH(E4,Contacts!$A$2:$A$3000,0)),"")</f>
        <v/>
      </c>
      <c r="G4" s="57" t="inlineStr">
        <is>
          <t>Qualité produit</t>
        </is>
      </c>
      <c r="H4" s="57" t="inlineStr">
        <is>
          <t>Haute</t>
        </is>
      </c>
      <c r="I4" s="57" t="inlineStr">
        <is>
          <t>En cours</t>
        </is>
      </c>
      <c r="J4" s="58" t="n">
        <v>46279</v>
      </c>
      <c r="K4" s="58" t="n"/>
      <c r="L4" s="60">
        <f>IF(K4="","",K4-J4)</f>
        <v/>
      </c>
      <c r="M4" s="40" t="inlineStr">
        <is>
          <t>Rainage trop marqué sur une référence, provoquant des bourrages en encartonnage. Échantillons en analyse au laboratoire.</t>
        </is>
      </c>
      <c r="N4" s="57" t="inlineStr">
        <is>
          <t>Karim Haddou - Qualité</t>
        </is>
      </c>
    </row>
    <row r="5" ht="15" customHeight="1" s="34">
      <c r="A5" s="57" t="inlineStr">
        <is>
          <t>K004</t>
        </is>
      </c>
      <c r="B5" s="57" t="inlineStr">
        <is>
          <t>Panne étiqueteuse ligne 3</t>
        </is>
      </c>
      <c r="C5" s="57" t="inlineStr">
        <is>
          <t>E011</t>
        </is>
      </c>
      <c r="D5" s="57">
        <f>IFERROR(INDEX(Entreprises!$B$2:$B$3000,MATCH(C5,Entreprises!$A$2:$A$3000,0)),"")</f>
        <v/>
      </c>
      <c r="E5" s="57" t="inlineStr">
        <is>
          <t>C018</t>
        </is>
      </c>
      <c r="F5" s="57">
        <f>IFERROR(INDEX(Contacts!$E$2:$E$3000,MATCH(E5,Contacts!$A$2:$A$3000,0)),"")</f>
        <v/>
      </c>
      <c r="G5" s="57" t="inlineStr">
        <is>
          <t>Technique équipement</t>
        </is>
      </c>
      <c r="H5" s="57" t="inlineStr">
        <is>
          <t>Haute</t>
        </is>
      </c>
      <c r="I5" s="57" t="inlineStr">
        <is>
          <t>Fermé</t>
        </is>
      </c>
      <c r="J5" s="58" t="n">
        <v>46148</v>
      </c>
      <c r="K5" s="58" t="n">
        <v>46150</v>
      </c>
      <c r="L5" s="60">
        <f>IF(K5="","",K5-J5)</f>
        <v/>
      </c>
      <c r="M5" s="40" t="inlineStr">
        <is>
          <t>Intervention sur site sous 24 heures, remplacement du capteur de détection.</t>
        </is>
      </c>
      <c r="N5" s="57" t="inlineStr">
        <is>
          <t>Marc Olivier - Service technique</t>
        </is>
      </c>
    </row>
    <row r="6" ht="15" customHeight="1" s="34">
      <c r="A6" s="57" t="inlineStr">
        <is>
          <t>K005</t>
        </is>
      </c>
      <c r="B6" s="57" t="inlineStr">
        <is>
          <t>Remise non appliquée sur facture</t>
        </is>
      </c>
      <c r="C6" s="57" t="inlineStr">
        <is>
          <t>E002</t>
        </is>
      </c>
      <c r="D6" s="57">
        <f>IFERROR(INDEX(Entreprises!$B$2:$B$3000,MATCH(C6,Entreprises!$A$2:$A$3000,0)),"")</f>
        <v/>
      </c>
      <c r="E6" s="57" t="inlineStr">
        <is>
          <t>C003</t>
        </is>
      </c>
      <c r="F6" s="57">
        <f>IFERROR(INDEX(Contacts!$E$2:$E$3000,MATCH(E6,Contacts!$A$2:$A$3000,0)),"")</f>
        <v/>
      </c>
      <c r="G6" s="57" t="inlineStr">
        <is>
          <t>Facturation</t>
        </is>
      </c>
      <c r="H6" s="57" t="inlineStr">
        <is>
          <t>Normale</t>
        </is>
      </c>
      <c r="I6" s="57" t="inlineStr">
        <is>
          <t>Fermé</t>
        </is>
      </c>
      <c r="J6" s="58" t="n">
        <v>46092</v>
      </c>
      <c r="K6" s="58" t="n">
        <v>46100</v>
      </c>
      <c r="L6" s="60">
        <f>IF(K6="","",K6-J6)</f>
        <v/>
      </c>
      <c r="M6" s="40" t="inlineStr">
        <is>
          <t>Remise contractuelle oubliée sur deux factures. Avoir émis.</t>
        </is>
      </c>
      <c r="N6" s="57" t="inlineStr">
        <is>
          <t>Lucie Martin - Service client</t>
        </is>
      </c>
    </row>
    <row r="7" ht="15" customHeight="1" s="34">
      <c r="A7" s="57" t="inlineStr">
        <is>
          <t>K006</t>
        </is>
      </c>
      <c r="B7" s="57" t="inlineStr">
        <is>
          <t>Demande de certificats de conformité matières</t>
        </is>
      </c>
      <c r="C7" s="57" t="inlineStr">
        <is>
          <t>E022</t>
        </is>
      </c>
      <c r="D7" s="57">
        <f>IFERROR(INDEX(Entreprises!$B$2:$B$3000,MATCH(C7,Entreprises!$A$2:$A$3000,0)),"")</f>
        <v/>
      </c>
      <c r="E7" s="57" t="inlineStr">
        <is>
          <t>C035</t>
        </is>
      </c>
      <c r="F7" s="57">
        <f>IFERROR(INDEX(Contacts!$E$2:$E$3000,MATCH(E7,Contacts!$A$2:$A$3000,0)),"")</f>
        <v/>
      </c>
      <c r="G7" s="57" t="inlineStr">
        <is>
          <t>Documentation</t>
        </is>
      </c>
      <c r="H7" s="57" t="inlineStr">
        <is>
          <t>Normale</t>
        </is>
      </c>
      <c r="I7" s="57" t="inlineStr">
        <is>
          <t>Fermé</t>
        </is>
      </c>
      <c r="J7" s="58" t="n">
        <v>46238</v>
      </c>
      <c r="K7" s="58" t="n">
        <v>46241</v>
      </c>
      <c r="L7" s="60">
        <f>IF(K7="","",K7-J7)</f>
        <v/>
      </c>
      <c r="M7" s="40" t="inlineStr">
        <is>
          <t>Envoi des certificats de conformité et des déclarations matières pour trois références.</t>
        </is>
      </c>
      <c r="N7" s="57" t="inlineStr">
        <is>
          <t>Karim Haddou - Qualité</t>
        </is>
      </c>
    </row>
    <row r="8" ht="23.85" customHeight="1" s="34">
      <c r="A8" s="57" t="inlineStr">
        <is>
          <t>K007</t>
        </is>
      </c>
      <c r="B8" s="57" t="inlineStr">
        <is>
          <t>Écart de teinte de la dorure sur étuis</t>
        </is>
      </c>
      <c r="C8" s="57" t="inlineStr">
        <is>
          <t>E008</t>
        </is>
      </c>
      <c r="D8" s="57">
        <f>IFERROR(INDEX(Entreprises!$B$2:$B$3000,MATCH(C8,Entreprises!$A$2:$A$3000,0)),"")</f>
        <v/>
      </c>
      <c r="E8" s="57" t="inlineStr">
        <is>
          <t>C012</t>
        </is>
      </c>
      <c r="F8" s="57">
        <f>IFERROR(INDEX(Contacts!$E$2:$E$3000,MATCH(E8,Contacts!$A$2:$A$3000,0)),"")</f>
        <v/>
      </c>
      <c r="G8" s="57" t="inlineStr">
        <is>
          <t>Qualité produit</t>
        </is>
      </c>
      <c r="H8" s="57" t="inlineStr">
        <is>
          <t>Haute</t>
        </is>
      </c>
      <c r="I8" s="57" t="inlineStr">
        <is>
          <t>Fermé</t>
        </is>
      </c>
      <c r="J8" s="58" t="n">
        <v>45973</v>
      </c>
      <c r="K8" s="58" t="n">
        <v>45989</v>
      </c>
      <c r="L8" s="60">
        <f>IF(K8="","",K8-J8)</f>
        <v/>
      </c>
      <c r="M8" s="40" t="inlineStr">
        <is>
          <t>Écart de teinte constaté sur un lot d'étuis. Réimpression partielle et ajustement du standard couleur.</t>
        </is>
      </c>
      <c r="N8" s="57" t="inlineStr">
        <is>
          <t>Karim Haddou - Qualité</t>
        </is>
      </c>
    </row>
    <row r="9" ht="15" customHeight="1" s="34">
      <c r="A9" s="57" t="inlineStr">
        <is>
          <t>K008</t>
        </is>
      </c>
      <c r="B9" s="57" t="inlineStr">
        <is>
          <t>Livraison incomplète (palette manquante)</t>
        </is>
      </c>
      <c r="C9" s="57" t="inlineStr">
        <is>
          <t>E014</t>
        </is>
      </c>
      <c r="D9" s="57">
        <f>IFERROR(INDEX(Entreprises!$B$2:$B$3000,MATCH(C9,Entreprises!$A$2:$A$3000,0)),"")</f>
        <v/>
      </c>
      <c r="E9" s="57" t="inlineStr">
        <is>
          <t>C024</t>
        </is>
      </c>
      <c r="F9" s="57">
        <f>IFERROR(INDEX(Contacts!$E$2:$E$3000,MATCH(E9,Contacts!$A$2:$A$3000,0)),"")</f>
        <v/>
      </c>
      <c r="G9" s="57" t="inlineStr">
        <is>
          <t>Livraison</t>
        </is>
      </c>
      <c r="H9" s="57" t="inlineStr">
        <is>
          <t>Normale</t>
        </is>
      </c>
      <c r="I9" s="57" t="inlineStr">
        <is>
          <t>Fermé</t>
        </is>
      </c>
      <c r="J9" s="58" t="n">
        <v>46195</v>
      </c>
      <c r="K9" s="58" t="n">
        <v>46198</v>
      </c>
      <c r="L9" s="60">
        <f>IF(K9="","",K9-J9)</f>
        <v/>
      </c>
      <c r="M9" s="40" t="inlineStr">
        <is>
          <t>Une palette manquante sur la livraison, renvoyée en express.</t>
        </is>
      </c>
      <c r="N9" s="57" t="inlineStr">
        <is>
          <t>Lucie Martin - Service client</t>
        </is>
      </c>
    </row>
    <row r="10" ht="15" customHeight="1" s="34">
      <c r="A10" s="57" t="inlineStr">
        <is>
          <t>K009</t>
        </is>
      </c>
      <c r="B10" s="57" t="inlineStr">
        <is>
          <t>Ajustement du calendrier de livraison</t>
        </is>
      </c>
      <c r="C10" s="57" t="inlineStr">
        <is>
          <t>E026</t>
        </is>
      </c>
      <c r="D10" s="57">
        <f>IFERROR(INDEX(Entreprises!$B$2:$B$3000,MATCH(C10,Entreprises!$A$2:$A$3000,0)),"")</f>
        <v/>
      </c>
      <c r="E10" s="57" t="inlineStr">
        <is>
          <t>C043</t>
        </is>
      </c>
      <c r="F10" s="57">
        <f>IFERROR(INDEX(Contacts!$E$2:$E$3000,MATCH(E10,Contacts!$A$2:$A$3000,0)),"")</f>
        <v/>
      </c>
      <c r="G10" s="57" t="inlineStr">
        <is>
          <t>Livraison</t>
        </is>
      </c>
      <c r="H10" s="57" t="inlineStr">
        <is>
          <t>Basse</t>
        </is>
      </c>
      <c r="I10" s="57" t="inlineStr">
        <is>
          <t>Fermé</t>
        </is>
      </c>
      <c r="J10" s="58" t="n">
        <v>46204</v>
      </c>
      <c r="K10" s="58" t="n">
        <v>46205</v>
      </c>
      <c r="L10" s="60">
        <f>IF(K10="","",K10-J10)</f>
        <v/>
      </c>
      <c r="M10" s="40" t="inlineStr">
        <is>
          <t>Décalage de deux livraisons à la demande du client pendant la période estivale.</t>
        </is>
      </c>
      <c r="N10" s="57" t="inlineStr">
        <is>
          <t>Lucie Martin - Service client</t>
        </is>
      </c>
    </row>
    <row r="11" ht="23.85" customHeight="1" s="34">
      <c r="A11" s="57" t="inlineStr">
        <is>
          <t>K010</t>
        </is>
      </c>
      <c r="B11" s="57" t="inlineStr">
        <is>
          <t>Étiquettes décollées après stockage à froid</t>
        </is>
      </c>
      <c r="C11" s="57" t="inlineStr">
        <is>
          <t>E012</t>
        </is>
      </c>
      <c r="D11" s="57">
        <f>IFERROR(INDEX(Entreprises!$B$2:$B$3000,MATCH(C11,Entreprises!$A$2:$A$3000,0)),"")</f>
        <v/>
      </c>
      <c r="E11" s="57" t="inlineStr">
        <is>
          <t>C019</t>
        </is>
      </c>
      <c r="F11" s="57">
        <f>IFERROR(INDEX(Contacts!$E$2:$E$3000,MATCH(E11,Contacts!$A$2:$A$3000,0)),"")</f>
        <v/>
      </c>
      <c r="G11" s="57" t="inlineStr">
        <is>
          <t>Qualité produit</t>
        </is>
      </c>
      <c r="H11" s="57" t="inlineStr">
        <is>
          <t>Haute</t>
        </is>
      </c>
      <c r="I11" s="57" t="inlineStr">
        <is>
          <t>En attente client</t>
        </is>
      </c>
      <c r="J11" s="58" t="n">
        <v>46293</v>
      </c>
      <c r="K11" s="58" t="n"/>
      <c r="L11" s="60">
        <f>IF(K11="","",K11-J11)</f>
        <v/>
      </c>
      <c r="M11" s="40" t="inlineStr">
        <is>
          <t>Décollement constaté après stockage à 4 °C. Tests de résistance lancés ; en attente des conditions exactes de stockage côté client.</t>
        </is>
      </c>
      <c r="N11" s="57" t="inlineStr">
        <is>
          <t>Karim Haddou - Qualité</t>
        </is>
      </c>
    </row>
    <row r="12" ht="15" customHeight="1" s="34">
      <c r="A12" s="57" t="inlineStr">
        <is>
          <t>K011</t>
        </is>
      </c>
      <c r="B12" s="57" t="inlineStr">
        <is>
          <t>Coffrets abîmés pendant le transport</t>
        </is>
      </c>
      <c r="C12" s="57" t="inlineStr">
        <is>
          <t>E027</t>
        </is>
      </c>
      <c r="D12" s="57">
        <f>IFERROR(INDEX(Entreprises!$B$2:$B$3000,MATCH(C12,Entreprises!$A$2:$A$3000,0)),"")</f>
        <v/>
      </c>
      <c r="E12" s="57" t="inlineStr">
        <is>
          <t>C045</t>
        </is>
      </c>
      <c r="F12" s="57">
        <f>IFERROR(INDEX(Contacts!$E$2:$E$3000,MATCH(E12,Contacts!$A$2:$A$3000,0)),"")</f>
        <v/>
      </c>
      <c r="G12" s="57" t="inlineStr">
        <is>
          <t>Livraison</t>
        </is>
      </c>
      <c r="H12" s="57" t="inlineStr">
        <is>
          <t>Normale</t>
        </is>
      </c>
      <c r="I12" s="57" t="inlineStr">
        <is>
          <t>Fermé</t>
        </is>
      </c>
      <c r="J12" s="58" t="n">
        <v>46037</v>
      </c>
      <c r="K12" s="58" t="n">
        <v>46044</v>
      </c>
      <c r="L12" s="60">
        <f>IF(K12="","",K12-J12)</f>
        <v/>
      </c>
      <c r="M12" s="40" t="inlineStr">
        <is>
          <t>Coins enfoncés sur une partie des coffrets. Renforcement du calage palette.</t>
        </is>
      </c>
      <c r="N12" s="57" t="inlineStr">
        <is>
          <t>Lucie Martin - Service client</t>
        </is>
      </c>
    </row>
    <row r="13" ht="15" customHeight="1" s="34">
      <c r="A13" s="57" t="inlineStr">
        <is>
          <t>K012</t>
        </is>
      </c>
      <c r="B13" s="57" t="inlineStr">
        <is>
          <t>Réglage étiqueteuse ETQ-400 après maintenance</t>
        </is>
      </c>
      <c r="C13" s="57" t="inlineStr">
        <is>
          <t>E021</t>
        </is>
      </c>
      <c r="D13" s="57">
        <f>IFERROR(INDEX(Entreprises!$B$2:$B$3000,MATCH(C13,Entreprises!$A$2:$A$3000,0)),"")</f>
        <v/>
      </c>
      <c r="E13" s="57" t="inlineStr">
        <is>
          <t>C034</t>
        </is>
      </c>
      <c r="F13" s="57">
        <f>IFERROR(INDEX(Contacts!$E$2:$E$3000,MATCH(E13,Contacts!$A$2:$A$3000,0)),"")</f>
        <v/>
      </c>
      <c r="G13" s="57" t="inlineStr">
        <is>
          <t>Technique équipement</t>
        </is>
      </c>
      <c r="H13" s="57" t="inlineStr">
        <is>
          <t>Normale</t>
        </is>
      </c>
      <c r="I13" s="57" t="inlineStr">
        <is>
          <t>Fermé</t>
        </is>
      </c>
      <c r="J13" s="58" t="n">
        <v>46062</v>
      </c>
      <c r="K13" s="58" t="n">
        <v>46064</v>
      </c>
      <c r="L13" s="60">
        <f>IF(K13="","",K13-J13)</f>
        <v/>
      </c>
      <c r="M13" s="40" t="inlineStr">
        <is>
          <t>Dérive de positionnement des étiquettes après la visite préventive. Réglage effectué.</t>
        </is>
      </c>
      <c r="N13" s="57" t="inlineStr">
        <is>
          <t>Marc Olivier - Service technique</t>
        </is>
      </c>
    </row>
    <row r="14" ht="23.85" customHeight="1" s="34">
      <c r="A14" s="57" t="inlineStr">
        <is>
          <t>K013</t>
        </is>
      </c>
      <c r="B14" s="57" t="inlineStr">
        <is>
          <t>Retard de validation BAT coffrets</t>
        </is>
      </c>
      <c r="C14" s="57" t="inlineStr">
        <is>
          <t>E017</t>
        </is>
      </c>
      <c r="D14" s="57">
        <f>IFERROR(INDEX(Entreprises!$B$2:$B$3000,MATCH(C14,Entreprises!$A$2:$A$3000,0)),"")</f>
        <v/>
      </c>
      <c r="E14" s="57" t="inlineStr">
        <is>
          <t>C027</t>
        </is>
      </c>
      <c r="F14" s="57">
        <f>IFERROR(INDEX(Contacts!$E$2:$E$3000,MATCH(E14,Contacts!$A$2:$A$3000,0)),"")</f>
        <v/>
      </c>
      <c r="G14" s="57" t="inlineStr">
        <is>
          <t>Livraison</t>
        </is>
      </c>
      <c r="H14" s="57" t="inlineStr">
        <is>
          <t>Normale</t>
        </is>
      </c>
      <c r="I14" s="57" t="inlineStr">
        <is>
          <t>Fermé</t>
        </is>
      </c>
      <c r="J14" s="58" t="n">
        <v>46084</v>
      </c>
      <c r="K14" s="58" t="n">
        <v>46087</v>
      </c>
      <c r="L14" s="60">
        <f>IF(K14="","",K14-J14)</f>
        <v/>
      </c>
      <c r="M14" s="40" t="inlineStr">
        <is>
          <t>BAT envoyé avec trois jours de retard, planning de production réajusté sans impact sur la livraison.</t>
        </is>
      </c>
      <c r="N14" s="57" t="inlineStr">
        <is>
          <t>Lucie Martin - Service client</t>
        </is>
      </c>
    </row>
    <row r="15" ht="15" customHeight="1" s="34">
      <c r="A15" s="57" t="inlineStr">
        <is>
          <t>K014</t>
        </is>
      </c>
      <c r="B15" s="57" t="inlineStr">
        <is>
          <t>Question technique sur l'adhésif des étiquettes</t>
        </is>
      </c>
      <c r="C15" s="57" t="inlineStr">
        <is>
          <t>E023</t>
        </is>
      </c>
      <c r="D15" s="57">
        <f>IFERROR(INDEX(Entreprises!$B$2:$B$3000,MATCH(C15,Entreprises!$A$2:$A$3000,0)),"")</f>
        <v/>
      </c>
      <c r="E15" s="57" t="inlineStr">
        <is>
          <t>C038</t>
        </is>
      </c>
      <c r="F15" s="57">
        <f>IFERROR(INDEX(Contacts!$E$2:$E$3000,MATCH(E15,Contacts!$A$2:$A$3000,0)),"")</f>
        <v/>
      </c>
      <c r="G15" s="57" t="inlineStr">
        <is>
          <t>Technique équipement</t>
        </is>
      </c>
      <c r="H15" s="57" t="inlineStr">
        <is>
          <t>Basse</t>
        </is>
      </c>
      <c r="I15" s="57" t="inlineStr">
        <is>
          <t>Nouveau</t>
        </is>
      </c>
      <c r="J15" s="58" t="n">
        <v>46302</v>
      </c>
      <c r="K15" s="58" t="n"/>
      <c r="L15" s="60">
        <f>IF(K15="","",K15-J15)</f>
        <v/>
      </c>
      <c r="M15" s="40" t="inlineStr">
        <is>
          <t>Le client demande la compatibilité de l'adhésif avec un nouveau film de flacon.</t>
        </is>
      </c>
      <c r="N15" s="57" t="inlineStr">
        <is>
          <t>Marc Olivier - Service technique</t>
        </is>
      </c>
    </row>
    <row r="16" ht="23.85" customHeight="1" s="34">
      <c r="A16" s="57" t="inlineStr">
        <is>
          <t>K015</t>
        </is>
      </c>
      <c r="B16" s="57" t="inlineStr">
        <is>
          <t>Demande de fiches techniques papier certifié</t>
        </is>
      </c>
      <c r="C16" s="57" t="inlineStr">
        <is>
          <t>E001</t>
        </is>
      </c>
      <c r="D16" s="57">
        <f>IFERROR(INDEX(Entreprises!$B$2:$B$3000,MATCH(C16,Entreprises!$A$2:$A$3000,0)),"")</f>
        <v/>
      </c>
      <c r="E16" s="57" t="inlineStr">
        <is>
          <t>C002</t>
        </is>
      </c>
      <c r="F16" s="57">
        <f>IFERROR(INDEX(Contacts!$E$2:$E$3000,MATCH(E16,Contacts!$A$2:$A$3000,0)),"")</f>
        <v/>
      </c>
      <c r="G16" s="57" t="inlineStr">
        <is>
          <t>Documentation</t>
        </is>
      </c>
      <c r="H16" s="57" t="inlineStr">
        <is>
          <t>Basse</t>
        </is>
      </c>
      <c r="I16" s="57" t="inlineStr">
        <is>
          <t>Fermé</t>
        </is>
      </c>
      <c r="J16" s="58" t="n">
        <v>46206</v>
      </c>
      <c r="K16" s="58" t="n">
        <v>46213</v>
      </c>
      <c r="L16" s="60">
        <f>IF(K16="","",K16-J16)</f>
        <v/>
      </c>
      <c r="M16" s="40" t="inlineStr">
        <is>
          <t>Envoi des fiches techniques et certificats du papier certifié pour le projet mono-matériau.</t>
        </is>
      </c>
      <c r="N16" s="57" t="inlineStr">
        <is>
          <t>Karim Haddou - Qualité</t>
        </is>
      </c>
    </row>
    <row r="17" ht="15" customHeight="1" s="34">
      <c r="A17" s="57" t="inlineStr">
        <is>
          <t>K016</t>
        </is>
      </c>
      <c r="B17" s="57" t="inlineStr">
        <is>
          <t>Écart de quantité facturée</t>
        </is>
      </c>
      <c r="C17" s="57" t="inlineStr">
        <is>
          <t>E025</t>
        </is>
      </c>
      <c r="D17" s="57">
        <f>IFERROR(INDEX(Entreprises!$B$2:$B$3000,MATCH(C17,Entreprises!$A$2:$A$3000,0)),"")</f>
        <v/>
      </c>
      <c r="E17" s="57" t="inlineStr">
        <is>
          <t>C040</t>
        </is>
      </c>
      <c r="F17" s="57">
        <f>IFERROR(INDEX(Contacts!$E$2:$E$3000,MATCH(E17,Contacts!$A$2:$A$3000,0)),"")</f>
        <v/>
      </c>
      <c r="G17" s="57" t="inlineStr">
        <is>
          <t>Facturation</t>
        </is>
      </c>
      <c r="H17" s="57" t="inlineStr">
        <is>
          <t>Normale</t>
        </is>
      </c>
      <c r="I17" s="57" t="inlineStr">
        <is>
          <t>Fermé</t>
        </is>
      </c>
      <c r="J17" s="58" t="n">
        <v>46129</v>
      </c>
      <c r="K17" s="58" t="n">
        <v>46136</v>
      </c>
      <c r="L17" s="60">
        <f>IF(K17="","",K17-J17)</f>
        <v/>
      </c>
      <c r="M17" s="40" t="inlineStr">
        <is>
          <t>Quantité facturée supérieure à la quantité livrée sur une commande. Avoir émis.</t>
        </is>
      </c>
      <c r="N17" s="57" t="inlineStr">
        <is>
          <t>Lucie Martin - Service client</t>
        </is>
      </c>
    </row>
    <row r="18" ht="23.85" customHeight="1" s="34">
      <c r="A18" s="57" t="inlineStr">
        <is>
          <t>K017</t>
        </is>
      </c>
      <c r="B18" s="57" t="inlineStr">
        <is>
          <t>Étiquettes logistiques illisibles au scanner</t>
        </is>
      </c>
      <c r="C18" s="57" t="inlineStr">
        <is>
          <t>E007</t>
        </is>
      </c>
      <c r="D18" s="57">
        <f>IFERROR(INDEX(Entreprises!$B$2:$B$3000,MATCH(C18,Entreprises!$A$2:$A$3000,0)),"")</f>
        <v/>
      </c>
      <c r="E18" s="57" t="inlineStr">
        <is>
          <t>C011</t>
        </is>
      </c>
      <c r="F18" s="57">
        <f>IFERROR(INDEX(Contacts!$E$2:$E$3000,MATCH(E18,Contacts!$A$2:$A$3000,0)),"")</f>
        <v/>
      </c>
      <c r="G18" s="57" t="inlineStr">
        <is>
          <t>Qualité produit</t>
        </is>
      </c>
      <c r="H18" s="57" t="inlineStr">
        <is>
          <t>Haute</t>
        </is>
      </c>
      <c r="I18" s="57" t="inlineStr">
        <is>
          <t>Fermé</t>
        </is>
      </c>
      <c r="J18" s="58" t="n">
        <v>45993</v>
      </c>
      <c r="K18" s="58" t="n">
        <v>46000</v>
      </c>
      <c r="L18" s="60">
        <f>IF(K18="","",K18-J18)</f>
        <v/>
      </c>
      <c r="M18" s="40" t="inlineStr">
        <is>
          <t>Contraste insuffisant des codes-barres sur un lot. Lot remplacé et paramètres d'impression corrigés.</t>
        </is>
      </c>
      <c r="N18" s="57" t="inlineStr">
        <is>
          <t>Karim Haddou - Qualité</t>
        </is>
      </c>
    </row>
    <row r="19" ht="23.85" customHeight="1" s="34">
      <c r="A19" s="57" t="inlineStr">
        <is>
          <t>K018</t>
        </is>
      </c>
      <c r="B19" s="57" t="inlineStr">
        <is>
          <t>Retard de livraison de caisses carton</t>
        </is>
      </c>
      <c r="C19" s="57" t="inlineStr">
        <is>
          <t>E028</t>
        </is>
      </c>
      <c r="D19" s="57">
        <f>IFERROR(INDEX(Entreprises!$B$2:$B$3000,MATCH(C19,Entreprises!$A$2:$A$3000,0)),"")</f>
        <v/>
      </c>
      <c r="E19" s="57" t="inlineStr">
        <is>
          <t>C046</t>
        </is>
      </c>
      <c r="F19" s="57">
        <f>IFERROR(INDEX(Contacts!$E$2:$E$3000,MATCH(E19,Contacts!$A$2:$A$3000,0)),"")</f>
        <v/>
      </c>
      <c r="G19" s="57" t="inlineStr">
        <is>
          <t>Livraison</t>
        </is>
      </c>
      <c r="H19" s="57" t="inlineStr">
        <is>
          <t>Normale</t>
        </is>
      </c>
      <c r="I19" s="57" t="inlineStr">
        <is>
          <t>En cours</t>
        </is>
      </c>
      <c r="J19" s="58" t="n">
        <v>46297</v>
      </c>
      <c r="K19" s="58" t="n"/>
      <c r="L19" s="60">
        <f>IF(K19="","",K19-J19)</f>
        <v/>
      </c>
      <c r="M19" s="40" t="inlineStr">
        <is>
          <t>Livraison décalée de quatre jours à cause d'un manque de matière. Nouvelle date communiquée au client.</t>
        </is>
      </c>
      <c r="N19" s="57" t="inlineStr">
        <is>
          <t>Lucie Martin - Service client</t>
        </is>
      </c>
    </row>
  </sheetData>
  <dataValidations count="5">
    <dataValidation sqref="G2:G219" showDropDown="0" showInputMessage="0" showErrorMessage="1" allowBlank="1" errorTitle="Valeur non autorisée" error="Choisissez une valeur dans la liste." type="list" errorStyle="stop" operator="between">
      <formula1>Paramètres!$M$7:$M$11</formula1>
      <formula2>0</formula2>
    </dataValidation>
    <dataValidation sqref="H2:H219" showDropDown="0" showInputMessage="0" showErrorMessage="1" allowBlank="1" errorTitle="Valeur non autorisée" error="Choisissez une valeur dans la liste." type="list" errorStyle="stop" operator="between">
      <formula1>Paramètres!$N$7:$N$10</formula1>
      <formula2>0</formula2>
    </dataValidation>
    <dataValidation sqref="I2:I219" showDropDown="0" showInputMessage="0" showErrorMessage="1" allowBlank="1" errorTitle="Valeur non autorisée" error="Choisissez une valeur dans la liste." type="list" errorStyle="stop" operator="between">
      <formula1>Paramètres!$O$7:$O$10</formula1>
      <formula2>0</formula2>
    </dataValidation>
    <dataValidation sqref="C2:C219" showDropDown="0" showInputMessage="0" showErrorMessage="1" allowBlank="1" errorTitle="Valeur non autorisée" error="Choisissez une valeur dans la liste." type="list" errorStyle="stop" operator="between">
      <formula1>Entreprises!$A$2:$A$3000</formula1>
      <formula2>0</formula2>
    </dataValidation>
    <dataValidation sqref="E2:E219" showDropDown="0" showInputMessage="0" showErrorMessage="1" allowBlank="1" errorTitle="Valeur non autorisée" error="Choisissez une valeur dans la liste." type="list" errorStyle="stop" operator="between">
      <formula1>Contacts!$A$2:$A$3000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11.xml><?xml version="1.0" encoding="utf-8"?>
<worksheet xmlns="http://schemas.openxmlformats.org/spreadsheetml/2006/main">
  <sheetPr filterMode="0">
    <outlinePr summaryBelow="1" summaryRight="1"/>
    <pageSetUpPr fitToPage="0"/>
  </sheetPr>
  <dimension ref="A1:P29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5" customWidth="1" style="33" min="1" max="1"/>
    <col width="16" customWidth="1" style="33" min="2" max="2"/>
    <col width="13" customWidth="1" style="33" min="3" max="3"/>
    <col width="12" customWidth="1" style="33" min="4" max="4"/>
    <col width="20" customWidth="1" style="33" min="5" max="5"/>
    <col width="10" customWidth="1" style="33" min="6" max="6"/>
    <col width="36" customWidth="1" style="33" min="7" max="7"/>
    <col width="10" customWidth="1" style="33" min="8" max="8"/>
    <col width="14" customWidth="1" style="33" min="9" max="9"/>
    <col width="9" customWidth="1" style="33" min="10" max="10"/>
    <col width="14" customWidth="1" style="33" min="11" max="11"/>
    <col width="13" customWidth="1" style="33" min="12" max="13"/>
    <col width="12" customWidth="1" style="33" min="14" max="14"/>
    <col width="18" customWidth="1" style="33" min="15" max="15"/>
    <col width="12" customWidth="1" style="33" min="16" max="16"/>
  </cols>
  <sheetData>
    <row r="1" ht="31.5" customHeight="1" s="34">
      <c r="A1" s="55" t="inlineStr">
        <is>
          <t>ID commande</t>
        </is>
      </c>
      <c r="B1" s="55" t="inlineStr">
        <is>
          <t>N° de commande client</t>
        </is>
      </c>
      <c r="C1" s="55" t="inlineStr">
        <is>
          <t>Date de commande</t>
        </is>
      </c>
      <c r="D1" s="55" t="inlineStr">
        <is>
          <t>ID entreprise</t>
        </is>
      </c>
      <c r="E1" s="56" t="inlineStr">
        <is>
          <t>Entreprise</t>
        </is>
      </c>
      <c r="F1" s="55" t="inlineStr">
        <is>
          <t>ID produit</t>
        </is>
      </c>
      <c r="G1" s="56" t="inlineStr">
        <is>
          <t>Produit</t>
        </is>
      </c>
      <c r="H1" s="55" t="inlineStr">
        <is>
          <t>Quantité</t>
        </is>
      </c>
      <c r="I1" s="56" t="inlineStr">
        <is>
          <t>Prix unitaire HT (€)</t>
        </is>
      </c>
      <c r="J1" s="55" t="inlineStr">
        <is>
          <t>Remise</t>
        </is>
      </c>
      <c r="K1" s="56" t="inlineStr">
        <is>
          <t>Montant HT (€)</t>
        </is>
      </c>
      <c r="L1" s="55" t="inlineStr">
        <is>
          <t>Date de livraison prévue</t>
        </is>
      </c>
      <c r="M1" s="55" t="inlineStr">
        <is>
          <t>Date de livraison effective</t>
        </is>
      </c>
      <c r="N1" s="56" t="inlineStr">
        <is>
          <t>Retard de livraison (jours)</t>
        </is>
      </c>
      <c r="O1" s="55" t="inlineStr">
        <is>
          <t>Statut</t>
        </is>
      </c>
      <c r="P1" s="55" t="inlineStr">
        <is>
          <t>ID commercial</t>
        </is>
      </c>
    </row>
    <row r="2" ht="15" customHeight="1" s="34">
      <c r="A2" s="57" t="inlineStr">
        <is>
          <t>CMD-2024-0001</t>
        </is>
      </c>
      <c r="B2" s="57" t="inlineStr">
        <is>
          <t>PO-INT-57459</t>
        </is>
      </c>
      <c r="C2" s="58" t="n">
        <v>45566</v>
      </c>
      <c r="D2" s="57" t="inlineStr">
        <is>
          <t>E004</t>
        </is>
      </c>
      <c r="E2" s="57">
        <f>IFERROR(INDEX(Entreprises!$B$2:$B$3000,MATCH(D2,Entreprises!$A$2:$A$3000,0)),"")</f>
        <v/>
      </c>
      <c r="F2" s="57" t="inlineStr">
        <is>
          <t>P005</t>
        </is>
      </c>
      <c r="G2" s="57">
        <f>IFERROR(INDEX(Produits!$C$2:$C$3000,MATCH(F2,Produits!$A$2:$A$3000,0)),"")</f>
        <v/>
      </c>
      <c r="H2" s="60" t="n">
        <v>9</v>
      </c>
      <c r="I2" s="59">
        <f>IFERROR(INDEX(Produits!$G$2:$G$3000,MATCH(F2,Produits!$A$2:$A$3000,0)),"")</f>
        <v/>
      </c>
      <c r="J2" s="62" t="n">
        <v>0.04</v>
      </c>
      <c r="K2" s="59">
        <f>IF(OR(H2="",I2=""),"",ROUND(H2*I2*(1-J2),2))</f>
        <v/>
      </c>
      <c r="L2" s="58" t="n">
        <v>45580</v>
      </c>
      <c r="M2" s="58" t="n">
        <v>45581</v>
      </c>
      <c r="N2" s="60">
        <f>IF(M2="","",MAX(0,M2-L2))</f>
        <v/>
      </c>
      <c r="O2" s="57" t="inlineStr">
        <is>
          <t>Facturée</t>
        </is>
      </c>
      <c r="P2" s="57" t="inlineStr">
        <is>
          <t>U002</t>
        </is>
      </c>
    </row>
    <row r="3" ht="15" customHeight="1" s="34">
      <c r="A3" s="57" t="inlineStr">
        <is>
          <t>CMD-2024-0002</t>
        </is>
      </c>
      <c r="B3" s="57" t="inlineStr">
        <is>
          <t>PO-KRO-14163</t>
        </is>
      </c>
      <c r="C3" s="58" t="n">
        <v>45568</v>
      </c>
      <c r="D3" s="57" t="inlineStr">
        <is>
          <t>E011</t>
        </is>
      </c>
      <c r="E3" s="57">
        <f>IFERROR(INDEX(Entreprises!$B$2:$B$3000,MATCH(D3,Entreprises!$A$2:$A$3000,0)),"")</f>
        <v/>
      </c>
      <c r="F3" s="57" t="inlineStr">
        <is>
          <t>P007</t>
        </is>
      </c>
      <c r="G3" s="57">
        <f>IFERROR(INDEX(Produits!$C$2:$C$3000,MATCH(F3,Produits!$A$2:$A$3000,0)),"")</f>
        <v/>
      </c>
      <c r="H3" s="60" t="n">
        <v>33</v>
      </c>
      <c r="I3" s="59">
        <f>IFERROR(INDEX(Produits!$G$2:$G$3000,MATCH(F3,Produits!$A$2:$A$3000,0)),"")</f>
        <v/>
      </c>
      <c r="J3" s="62" t="n">
        <v>0.08</v>
      </c>
      <c r="K3" s="59">
        <f>IF(OR(H3="",I3=""),"",ROUND(H3*I3*(1-J3),2))</f>
        <v/>
      </c>
      <c r="L3" s="58" t="n">
        <v>45582</v>
      </c>
      <c r="M3" s="58" t="n">
        <v>45582</v>
      </c>
      <c r="N3" s="60">
        <f>IF(M3="","",MAX(0,M3-L3))</f>
        <v/>
      </c>
      <c r="O3" s="57" t="inlineStr">
        <is>
          <t>Facturée</t>
        </is>
      </c>
      <c r="P3" s="57" t="inlineStr">
        <is>
          <t>U003</t>
        </is>
      </c>
    </row>
    <row r="4" ht="15" customHeight="1" s="34">
      <c r="A4" s="57" t="inlineStr">
        <is>
          <t>CMD-2024-0003</t>
        </is>
      </c>
      <c r="B4" s="57" t="inlineStr">
        <is>
          <t>PO-BON-52148</t>
        </is>
      </c>
      <c r="C4" s="58" t="n">
        <v>45569</v>
      </c>
      <c r="D4" s="57" t="inlineStr">
        <is>
          <t>E001</t>
        </is>
      </c>
      <c r="E4" s="57">
        <f>IFERROR(INDEX(Entreprises!$B$2:$B$3000,MATCH(D4,Entreprises!$A$2:$A$3000,0)),"")</f>
        <v/>
      </c>
      <c r="F4" s="57" t="inlineStr">
        <is>
          <t>P003</t>
        </is>
      </c>
      <c r="G4" s="57">
        <f>IFERROR(INDEX(Produits!$C$2:$C$3000,MATCH(F4,Produits!$A$2:$A$3000,0)),"")</f>
        <v/>
      </c>
      <c r="H4" s="60" t="n">
        <v>144</v>
      </c>
      <c r="I4" s="59">
        <f>IFERROR(INDEX(Produits!$G$2:$G$3000,MATCH(F4,Produits!$A$2:$A$3000,0)),"")</f>
        <v/>
      </c>
      <c r="J4" s="62" t="n">
        <v>0.08</v>
      </c>
      <c r="K4" s="59">
        <f>IF(OR(H4="",I4=""),"",ROUND(H4*I4*(1-J4),2))</f>
        <v/>
      </c>
      <c r="L4" s="58" t="n">
        <v>45583</v>
      </c>
      <c r="M4" s="58" t="n">
        <v>45586</v>
      </c>
      <c r="N4" s="60">
        <f>IF(M4="","",MAX(0,M4-L4))</f>
        <v/>
      </c>
      <c r="O4" s="57" t="inlineStr">
        <is>
          <t>Facturée</t>
        </is>
      </c>
      <c r="P4" s="57" t="inlineStr">
        <is>
          <t>U002</t>
        </is>
      </c>
    </row>
    <row r="5" ht="15" customHeight="1" s="34">
      <c r="A5" s="57" t="inlineStr">
        <is>
          <t>CMD-2024-0004</t>
        </is>
      </c>
      <c r="B5" s="57" t="inlineStr">
        <is>
          <t>PO-NEX-66427</t>
        </is>
      </c>
      <c r="C5" s="58" t="n">
        <v>45569</v>
      </c>
      <c r="D5" s="57" t="inlineStr">
        <is>
          <t>E007</t>
        </is>
      </c>
      <c r="E5" s="57">
        <f>IFERROR(INDEX(Entreprises!$B$2:$B$3000,MATCH(D5,Entreprises!$A$2:$A$3000,0)),"")</f>
        <v/>
      </c>
      <c r="F5" s="57" t="inlineStr">
        <is>
          <t>P007</t>
        </is>
      </c>
      <c r="G5" s="57">
        <f>IFERROR(INDEX(Produits!$C$2:$C$3000,MATCH(F5,Produits!$A$2:$A$3000,0)),"")</f>
        <v/>
      </c>
      <c r="H5" s="60" t="n">
        <v>20</v>
      </c>
      <c r="I5" s="59">
        <f>IFERROR(INDEX(Produits!$G$2:$G$3000,MATCH(F5,Produits!$A$2:$A$3000,0)),"")</f>
        <v/>
      </c>
      <c r="J5" s="62" t="n">
        <v>0.05</v>
      </c>
      <c r="K5" s="59">
        <f>IF(OR(H5="",I5=""),"",ROUND(H5*I5*(1-J5),2))</f>
        <v/>
      </c>
      <c r="L5" s="58" t="n">
        <v>45583</v>
      </c>
      <c r="M5" s="58" t="n">
        <v>45583</v>
      </c>
      <c r="N5" s="60">
        <f>IF(M5="","",MAX(0,M5-L5))</f>
        <v/>
      </c>
      <c r="O5" s="57" t="inlineStr">
        <is>
          <t>Facturée</t>
        </is>
      </c>
      <c r="P5" s="57" t="inlineStr">
        <is>
          <t>U002</t>
        </is>
      </c>
    </row>
    <row r="6" ht="15" customHeight="1" s="34">
      <c r="A6" s="57" t="inlineStr">
        <is>
          <t>CMD-2024-0005</t>
        </is>
      </c>
      <c r="B6" s="57" t="inlineStr">
        <is>
          <t>PO-MAI-53461</t>
        </is>
      </c>
      <c r="C6" s="58" t="n">
        <v>45569</v>
      </c>
      <c r="D6" s="57" t="inlineStr">
        <is>
          <t>E018</t>
        </is>
      </c>
      <c r="E6" s="57">
        <f>IFERROR(INDEX(Entreprises!$B$2:$B$3000,MATCH(D6,Entreprises!$A$2:$A$3000,0)),"")</f>
        <v/>
      </c>
      <c r="F6" s="57" t="inlineStr">
        <is>
          <t>P006</t>
        </is>
      </c>
      <c r="G6" s="57">
        <f>IFERROR(INDEX(Produits!$C$2:$C$3000,MATCH(F6,Produits!$A$2:$A$3000,0)),"")</f>
        <v/>
      </c>
      <c r="H6" s="60" t="n">
        <v>6</v>
      </c>
      <c r="I6" s="59">
        <f>IFERROR(INDEX(Produits!$G$2:$G$3000,MATCH(F6,Produits!$A$2:$A$3000,0)),"")</f>
        <v/>
      </c>
      <c r="J6" s="62" t="n">
        <v>0.02</v>
      </c>
      <c r="K6" s="59">
        <f>IF(OR(H6="",I6=""),"",ROUND(H6*I6*(1-J6),2))</f>
        <v/>
      </c>
      <c r="L6" s="58" t="n">
        <v>45583</v>
      </c>
      <c r="M6" s="58" t="n">
        <v>45581</v>
      </c>
      <c r="N6" s="60">
        <f>IF(M6="","",MAX(0,M6-L6))</f>
        <v/>
      </c>
      <c r="O6" s="57" t="inlineStr">
        <is>
          <t>Facturée</t>
        </is>
      </c>
      <c r="P6" s="57" t="inlineStr">
        <is>
          <t>U005</t>
        </is>
      </c>
    </row>
    <row r="7" ht="15" customHeight="1" s="34">
      <c r="A7" s="57" t="inlineStr">
        <is>
          <t>CMD-2024-0006</t>
        </is>
      </c>
      <c r="B7" s="57" t="inlineStr">
        <is>
          <t>PO-PER-22069</t>
        </is>
      </c>
      <c r="C7" s="58" t="n">
        <v>45573</v>
      </c>
      <c r="D7" s="57" t="inlineStr">
        <is>
          <t>E025</t>
        </is>
      </c>
      <c r="E7" s="57">
        <f>IFERROR(INDEX(Entreprises!$B$2:$B$3000,MATCH(D7,Entreprises!$A$2:$A$3000,0)),"")</f>
        <v/>
      </c>
      <c r="F7" s="57" t="inlineStr">
        <is>
          <t>P005</t>
        </is>
      </c>
      <c r="G7" s="57">
        <f>IFERROR(INDEX(Produits!$C$2:$C$3000,MATCH(F7,Produits!$A$2:$A$3000,0)),"")</f>
        <v/>
      </c>
      <c r="H7" s="60" t="n">
        <v>46</v>
      </c>
      <c r="I7" s="59">
        <f>IFERROR(INDEX(Produits!$G$2:$G$3000,MATCH(F7,Produits!$A$2:$A$3000,0)),"")</f>
        <v/>
      </c>
      <c r="J7" s="62" t="n">
        <v>0.06</v>
      </c>
      <c r="K7" s="59">
        <f>IF(OR(H7="",I7=""),"",ROUND(H7*I7*(1-J7),2))</f>
        <v/>
      </c>
      <c r="L7" s="58" t="n">
        <v>45587</v>
      </c>
      <c r="M7" s="58" t="n">
        <v>45587</v>
      </c>
      <c r="N7" s="60">
        <f>IF(M7="","",MAX(0,M7-L7))</f>
        <v/>
      </c>
      <c r="O7" s="57" t="inlineStr">
        <is>
          <t>Facturée</t>
        </is>
      </c>
      <c r="P7" s="57" t="inlineStr">
        <is>
          <t>U007</t>
        </is>
      </c>
    </row>
    <row r="8" ht="15" customHeight="1" s="34">
      <c r="A8" s="57" t="inlineStr">
        <is>
          <t>CMD-2024-0007</t>
        </is>
      </c>
      <c r="B8" s="57" t="inlineStr">
        <is>
          <t>PO-LES-26342</t>
        </is>
      </c>
      <c r="C8" s="58" t="n">
        <v>45575</v>
      </c>
      <c r="D8" s="57" t="inlineStr">
        <is>
          <t>E002</t>
        </is>
      </c>
      <c r="E8" s="57">
        <f>IFERROR(INDEX(Entreprises!$B$2:$B$3000,MATCH(D8,Entreprises!$A$2:$A$3000,0)),"")</f>
        <v/>
      </c>
      <c r="F8" s="57" t="inlineStr">
        <is>
          <t>P007</t>
        </is>
      </c>
      <c r="G8" s="57">
        <f>IFERROR(INDEX(Produits!$C$2:$C$3000,MATCH(F8,Produits!$A$2:$A$3000,0)),"")</f>
        <v/>
      </c>
      <c r="H8" s="60" t="n">
        <v>58</v>
      </c>
      <c r="I8" s="59">
        <f>IFERROR(INDEX(Produits!$G$2:$G$3000,MATCH(F8,Produits!$A$2:$A$3000,0)),"")</f>
        <v/>
      </c>
      <c r="J8" s="62" t="n">
        <v>0.05</v>
      </c>
      <c r="K8" s="59">
        <f>IF(OR(H8="",I8=""),"",ROUND(H8*I8*(1-J8),2))</f>
        <v/>
      </c>
      <c r="L8" s="58" t="n">
        <v>45589</v>
      </c>
      <c r="M8" s="58" t="n">
        <v>45589</v>
      </c>
      <c r="N8" s="60">
        <f>IF(M8="","",MAX(0,M8-L8))</f>
        <v/>
      </c>
      <c r="O8" s="57" t="inlineStr">
        <is>
          <t>Facturée</t>
        </is>
      </c>
      <c r="P8" s="57" t="inlineStr">
        <is>
          <t>U002</t>
        </is>
      </c>
    </row>
    <row r="9" ht="15" customHeight="1" s="34">
      <c r="A9" s="57" t="inlineStr">
        <is>
          <t>CMD-2024-0008</t>
        </is>
      </c>
      <c r="B9" s="57" t="inlineStr">
        <is>
          <t>PO-LAU-86055</t>
        </is>
      </c>
      <c r="C9" s="58" t="n">
        <v>45575</v>
      </c>
      <c r="D9" s="57" t="inlineStr">
        <is>
          <t>E009</t>
        </is>
      </c>
      <c r="E9" s="57">
        <f>IFERROR(INDEX(Entreprises!$B$2:$B$3000,MATCH(D9,Entreprises!$A$2:$A$3000,0)),"")</f>
        <v/>
      </c>
      <c r="F9" s="57" t="inlineStr">
        <is>
          <t>P007</t>
        </is>
      </c>
      <c r="G9" s="57">
        <f>IFERROR(INDEX(Produits!$C$2:$C$3000,MATCH(F9,Produits!$A$2:$A$3000,0)),"")</f>
        <v/>
      </c>
      <c r="H9" s="60" t="n">
        <v>22</v>
      </c>
      <c r="I9" s="59">
        <f>IFERROR(INDEX(Produits!$G$2:$G$3000,MATCH(F9,Produits!$A$2:$A$3000,0)),"")</f>
        <v/>
      </c>
      <c r="J9" s="62" t="n">
        <v>0.03</v>
      </c>
      <c r="K9" s="59">
        <f>IF(OR(H9="",I9=""),"",ROUND(H9*I9*(1-J9),2))</f>
        <v/>
      </c>
      <c r="L9" s="58" t="n">
        <v>45589</v>
      </c>
      <c r="M9" s="58" t="n">
        <v>45593</v>
      </c>
      <c r="N9" s="60">
        <f>IF(M9="","",MAX(0,M9-L9))</f>
        <v/>
      </c>
      <c r="O9" s="57" t="inlineStr">
        <is>
          <t>Facturée</t>
        </is>
      </c>
      <c r="P9" s="57" t="inlineStr">
        <is>
          <t>U003</t>
        </is>
      </c>
    </row>
    <row r="10" ht="15" customHeight="1" s="34">
      <c r="A10" s="57" t="inlineStr">
        <is>
          <t>CMD-2024-0009</t>
        </is>
      </c>
      <c r="B10" s="57" t="inlineStr">
        <is>
          <t>PO-MOE-24962</t>
        </is>
      </c>
      <c r="C10" s="58" t="n">
        <v>45576</v>
      </c>
      <c r="D10" s="57" t="inlineStr">
        <is>
          <t>E008</t>
        </is>
      </c>
      <c r="E10" s="57">
        <f>IFERROR(INDEX(Entreprises!$B$2:$B$3000,MATCH(D10,Entreprises!$A$2:$A$3000,0)),"")</f>
        <v/>
      </c>
      <c r="F10" s="57" t="inlineStr">
        <is>
          <t>P005</t>
        </is>
      </c>
      <c r="G10" s="57">
        <f>IFERROR(INDEX(Produits!$C$2:$C$3000,MATCH(F10,Produits!$A$2:$A$3000,0)),"")</f>
        <v/>
      </c>
      <c r="H10" s="60" t="n">
        <v>55</v>
      </c>
      <c r="I10" s="59">
        <f>IFERROR(INDEX(Produits!$G$2:$G$3000,MATCH(F10,Produits!$A$2:$A$3000,0)),"")</f>
        <v/>
      </c>
      <c r="J10" s="62" t="n">
        <v>0.07000000000000001</v>
      </c>
      <c r="K10" s="59">
        <f>IF(OR(H10="",I10=""),"",ROUND(H10*I10*(1-J10),2))</f>
        <v/>
      </c>
      <c r="L10" s="58" t="n">
        <v>45590</v>
      </c>
      <c r="M10" s="58" t="n">
        <v>45593</v>
      </c>
      <c r="N10" s="60">
        <f>IF(M10="","",MAX(0,M10-L10))</f>
        <v/>
      </c>
      <c r="O10" s="57" t="inlineStr">
        <is>
          <t>Facturée</t>
        </is>
      </c>
      <c r="P10" s="57" t="inlineStr">
        <is>
          <t>U003</t>
        </is>
      </c>
    </row>
    <row r="11" ht="15" customHeight="1" s="34">
      <c r="A11" s="57" t="inlineStr">
        <is>
          <t>CMD-2024-0010</t>
        </is>
      </c>
      <c r="B11" s="57" t="inlineStr">
        <is>
          <t>PO-PIE-47022</t>
        </is>
      </c>
      <c r="C11" s="58" t="n">
        <v>45579</v>
      </c>
      <c r="D11" s="57" t="inlineStr">
        <is>
          <t>E019</t>
        </is>
      </c>
      <c r="E11" s="57">
        <f>IFERROR(INDEX(Entreprises!$B$2:$B$3000,MATCH(D11,Entreprises!$A$2:$A$3000,0)),"")</f>
        <v/>
      </c>
      <c r="F11" s="57" t="inlineStr">
        <is>
          <t>P002</t>
        </is>
      </c>
      <c r="G11" s="57">
        <f>IFERROR(INDEX(Produits!$C$2:$C$3000,MATCH(F11,Produits!$A$2:$A$3000,0)),"")</f>
        <v/>
      </c>
      <c r="H11" s="60" t="n">
        <v>358</v>
      </c>
      <c r="I11" s="59">
        <f>IFERROR(INDEX(Produits!$G$2:$G$3000,MATCH(F11,Produits!$A$2:$A$3000,0)),"")</f>
        <v/>
      </c>
      <c r="J11" s="62" t="n">
        <v>0.05</v>
      </c>
      <c r="K11" s="59">
        <f>IF(OR(H11="",I11=""),"",ROUND(H11*I11*(1-J11),2))</f>
        <v/>
      </c>
      <c r="L11" s="58" t="n">
        <v>45593</v>
      </c>
      <c r="M11" s="58" t="n">
        <v>45594</v>
      </c>
      <c r="N11" s="60">
        <f>IF(M11="","",MAX(0,M11-L11))</f>
        <v/>
      </c>
      <c r="O11" s="57" t="inlineStr">
        <is>
          <t>Facturée</t>
        </is>
      </c>
      <c r="P11" s="57" t="inlineStr">
        <is>
          <t>U005</t>
        </is>
      </c>
    </row>
    <row r="12" ht="15" customHeight="1" s="34">
      <c r="A12" s="57" t="inlineStr">
        <is>
          <t>CMD-2024-0011</t>
        </is>
      </c>
      <c r="B12" s="57" t="inlineStr">
        <is>
          <t>PO-IPS-74055</t>
        </is>
      </c>
      <c r="C12" s="58" t="n">
        <v>45579</v>
      </c>
      <c r="D12" s="57" t="inlineStr">
        <is>
          <t>E023</t>
        </is>
      </c>
      <c r="E12" s="57">
        <f>IFERROR(INDEX(Entreprises!$B$2:$B$3000,MATCH(D12,Entreprises!$A$2:$A$3000,0)),"")</f>
        <v/>
      </c>
      <c r="F12" s="57" t="inlineStr">
        <is>
          <t>P001</t>
        </is>
      </c>
      <c r="G12" s="57">
        <f>IFERROR(INDEX(Produits!$C$2:$C$3000,MATCH(F12,Produits!$A$2:$A$3000,0)),"")</f>
        <v/>
      </c>
      <c r="H12" s="60" t="n">
        <v>177</v>
      </c>
      <c r="I12" s="59">
        <f>IFERROR(INDEX(Produits!$G$2:$G$3000,MATCH(F12,Produits!$A$2:$A$3000,0)),"")</f>
        <v/>
      </c>
      <c r="J12" s="62" t="n">
        <v>0.05</v>
      </c>
      <c r="K12" s="59">
        <f>IF(OR(H12="",I12=""),"",ROUND(H12*I12*(1-J12),2))</f>
        <v/>
      </c>
      <c r="L12" s="58" t="n">
        <v>45593</v>
      </c>
      <c r="M12" s="58" t="n">
        <v>45593</v>
      </c>
      <c r="N12" s="60">
        <f>IF(M12="","",MAX(0,M12-L12))</f>
        <v/>
      </c>
      <c r="O12" s="57" t="inlineStr">
        <is>
          <t>Facturée</t>
        </is>
      </c>
      <c r="P12" s="57" t="inlineStr">
        <is>
          <t>U006</t>
        </is>
      </c>
    </row>
    <row r="13" ht="15" customHeight="1" s="34">
      <c r="A13" s="57" t="inlineStr">
        <is>
          <t>CMD-2024-0012</t>
        </is>
      </c>
      <c r="B13" s="57" t="inlineStr">
        <is>
          <t>PO-LEG-82120</t>
        </is>
      </c>
      <c r="C13" s="58" t="n">
        <v>45583</v>
      </c>
      <c r="D13" s="57" t="inlineStr">
        <is>
          <t>E021</t>
        </is>
      </c>
      <c r="E13" s="57">
        <f>IFERROR(INDEX(Entreprises!$B$2:$B$3000,MATCH(D13,Entreprises!$A$2:$A$3000,0)),"")</f>
        <v/>
      </c>
      <c r="F13" s="57" t="inlineStr">
        <is>
          <t>P007</t>
        </is>
      </c>
      <c r="G13" s="57">
        <f>IFERROR(INDEX(Produits!$C$2:$C$3000,MATCH(F13,Produits!$A$2:$A$3000,0)),"")</f>
        <v/>
      </c>
      <c r="H13" s="60" t="n">
        <v>63</v>
      </c>
      <c r="I13" s="59">
        <f>IFERROR(INDEX(Produits!$G$2:$G$3000,MATCH(F13,Produits!$A$2:$A$3000,0)),"")</f>
        <v/>
      </c>
      <c r="J13" s="62" t="n">
        <v>0.06</v>
      </c>
      <c r="K13" s="59">
        <f>IF(OR(H13="",I13=""),"",ROUND(H13*I13*(1-J13),2))</f>
        <v/>
      </c>
      <c r="L13" s="58" t="n">
        <v>45597</v>
      </c>
      <c r="M13" s="58" t="n">
        <v>45600</v>
      </c>
      <c r="N13" s="60">
        <f>IF(M13="","",MAX(0,M13-L13))</f>
        <v/>
      </c>
      <c r="O13" s="57" t="inlineStr">
        <is>
          <t>Facturée</t>
        </is>
      </c>
      <c r="P13" s="57" t="inlineStr">
        <is>
          <t>U005</t>
        </is>
      </c>
    </row>
    <row r="14" ht="15" customHeight="1" s="34">
      <c r="A14" s="57" t="inlineStr">
        <is>
          <t>CMD-2024-0013</t>
        </is>
      </c>
      <c r="B14" s="57" t="inlineStr">
        <is>
          <t>PO-BOI-78943</t>
        </is>
      </c>
      <c r="C14" s="58" t="n">
        <v>45586</v>
      </c>
      <c r="D14" s="57" t="inlineStr">
        <is>
          <t>E013</t>
        </is>
      </c>
      <c r="E14" s="57">
        <f>IFERROR(INDEX(Entreprises!$B$2:$B$3000,MATCH(D14,Entreprises!$A$2:$A$3000,0)),"")</f>
        <v/>
      </c>
      <c r="F14" s="57" t="inlineStr">
        <is>
          <t>P001</t>
        </is>
      </c>
      <c r="G14" s="57">
        <f>IFERROR(INDEX(Produits!$C$2:$C$3000,MATCH(F14,Produits!$A$2:$A$3000,0)),"")</f>
        <v/>
      </c>
      <c r="H14" s="60" t="n">
        <v>82</v>
      </c>
      <c r="I14" s="59">
        <f>IFERROR(INDEX(Produits!$G$2:$G$3000,MATCH(F14,Produits!$A$2:$A$3000,0)),"")</f>
        <v/>
      </c>
      <c r="J14" s="62" t="n">
        <v>0.04</v>
      </c>
      <c r="K14" s="59">
        <f>IF(OR(H14="",I14=""),"",ROUND(H14*I14*(1-J14),2))</f>
        <v/>
      </c>
      <c r="L14" s="58" t="n">
        <v>45600</v>
      </c>
      <c r="M14" s="58" t="n">
        <v>45600</v>
      </c>
      <c r="N14" s="60">
        <f>IF(M14="","",MAX(0,M14-L14))</f>
        <v/>
      </c>
      <c r="O14" s="57" t="inlineStr">
        <is>
          <t>Facturée</t>
        </is>
      </c>
      <c r="P14" s="57" t="inlineStr">
        <is>
          <t>U004</t>
        </is>
      </c>
    </row>
    <row r="15" ht="15" customHeight="1" s="34">
      <c r="A15" s="57" t="inlineStr">
        <is>
          <t>CMD-2024-0014</t>
        </is>
      </c>
      <c r="B15" s="57" t="inlineStr">
        <is>
          <t>PO-REM-15663</t>
        </is>
      </c>
      <c r="C15" s="58" t="n">
        <v>45586</v>
      </c>
      <c r="D15" s="57" t="inlineStr">
        <is>
          <t>E017</t>
        </is>
      </c>
      <c r="E15" s="57">
        <f>IFERROR(INDEX(Entreprises!$B$2:$B$3000,MATCH(D15,Entreprises!$A$2:$A$3000,0)),"")</f>
        <v/>
      </c>
      <c r="F15" s="57" t="inlineStr">
        <is>
          <t>P005</t>
        </is>
      </c>
      <c r="G15" s="57">
        <f>IFERROR(INDEX(Produits!$C$2:$C$3000,MATCH(F15,Produits!$A$2:$A$3000,0)),"")</f>
        <v/>
      </c>
      <c r="H15" s="60" t="n">
        <v>25</v>
      </c>
      <c r="I15" s="59">
        <f>IFERROR(INDEX(Produits!$G$2:$G$3000,MATCH(F15,Produits!$A$2:$A$3000,0)),"")</f>
        <v/>
      </c>
      <c r="J15" s="62" t="n">
        <v>0.08</v>
      </c>
      <c r="K15" s="59">
        <f>IF(OR(H15="",I15=""),"",ROUND(H15*I15*(1-J15),2))</f>
        <v/>
      </c>
      <c r="L15" s="58" t="n">
        <v>45600</v>
      </c>
      <c r="M15" s="58" t="n">
        <v>45601</v>
      </c>
      <c r="N15" s="60">
        <f>IF(M15="","",MAX(0,M15-L15))</f>
        <v/>
      </c>
      <c r="O15" s="57" t="inlineStr">
        <is>
          <t>Facturée</t>
        </is>
      </c>
      <c r="P15" s="57" t="inlineStr">
        <is>
          <t>U005</t>
        </is>
      </c>
    </row>
    <row r="16" ht="15" customHeight="1" s="34">
      <c r="A16" s="57" t="inlineStr">
        <is>
          <t>CMD-2024-0015</t>
        </is>
      </c>
      <c r="B16" s="57" t="inlineStr">
        <is>
          <t>PO-DAN-86015</t>
        </is>
      </c>
      <c r="C16" s="58" t="n">
        <v>45586</v>
      </c>
      <c r="D16" s="57" t="inlineStr">
        <is>
          <t>E026</t>
        </is>
      </c>
      <c r="E16" s="57">
        <f>IFERROR(INDEX(Entreprises!$B$2:$B$3000,MATCH(D16,Entreprises!$A$2:$A$3000,0)),"")</f>
        <v/>
      </c>
      <c r="F16" s="57" t="inlineStr">
        <is>
          <t>P007</t>
        </is>
      </c>
      <c r="G16" s="57">
        <f>IFERROR(INDEX(Produits!$C$2:$C$3000,MATCH(F16,Produits!$A$2:$A$3000,0)),"")</f>
        <v/>
      </c>
      <c r="H16" s="60" t="n">
        <v>138</v>
      </c>
      <c r="I16" s="59">
        <f>IFERROR(INDEX(Produits!$G$2:$G$3000,MATCH(F16,Produits!$A$2:$A$3000,0)),"")</f>
        <v/>
      </c>
      <c r="J16" s="62" t="n">
        <v>0.05</v>
      </c>
      <c r="K16" s="59">
        <f>IF(OR(H16="",I16=""),"",ROUND(H16*I16*(1-J16),2))</f>
        <v/>
      </c>
      <c r="L16" s="58" t="n">
        <v>45600</v>
      </c>
      <c r="M16" s="58" t="n">
        <v>45602</v>
      </c>
      <c r="N16" s="60">
        <f>IF(M16="","",MAX(0,M16-L16))</f>
        <v/>
      </c>
      <c r="O16" s="57" t="inlineStr">
        <is>
          <t>Facturée</t>
        </is>
      </c>
      <c r="P16" s="57" t="inlineStr">
        <is>
          <t>U007</t>
        </is>
      </c>
    </row>
    <row r="17" ht="15" customHeight="1" s="34">
      <c r="A17" s="57" t="inlineStr">
        <is>
          <t>CMD-2024-0016</t>
        </is>
      </c>
      <c r="B17" s="57" t="inlineStr">
        <is>
          <t>PO-SCH-70924</t>
        </is>
      </c>
      <c r="C17" s="58" t="n">
        <v>45586</v>
      </c>
      <c r="D17" s="57" t="inlineStr">
        <is>
          <t>E030</t>
        </is>
      </c>
      <c r="E17" s="57">
        <f>IFERROR(INDEX(Entreprises!$B$2:$B$3000,MATCH(D17,Entreprises!$A$2:$A$3000,0)),"")</f>
        <v/>
      </c>
      <c r="F17" s="57" t="inlineStr">
        <is>
          <t>P007</t>
        </is>
      </c>
      <c r="G17" s="57">
        <f>IFERROR(INDEX(Produits!$C$2:$C$3000,MATCH(F17,Produits!$A$2:$A$3000,0)),"")</f>
        <v/>
      </c>
      <c r="H17" s="60" t="n">
        <v>98</v>
      </c>
      <c r="I17" s="59">
        <f>IFERROR(INDEX(Produits!$G$2:$G$3000,MATCH(F17,Produits!$A$2:$A$3000,0)),"")</f>
        <v/>
      </c>
      <c r="J17" s="62" t="n">
        <v>0.07000000000000001</v>
      </c>
      <c r="K17" s="59">
        <f>IF(OR(H17="",I17=""),"",ROUND(H17*I17*(1-J17),2))</f>
        <v/>
      </c>
      <c r="L17" s="58" t="n">
        <v>45600</v>
      </c>
      <c r="M17" s="58" t="n">
        <v>45600</v>
      </c>
      <c r="N17" s="60">
        <f>IF(M17="","",MAX(0,M17-L17))</f>
        <v/>
      </c>
      <c r="O17" s="57" t="inlineStr">
        <is>
          <t>Facturée</t>
        </is>
      </c>
      <c r="P17" s="57" t="inlineStr">
        <is>
          <t>U007</t>
        </is>
      </c>
    </row>
    <row r="18" ht="15" customHeight="1" s="34">
      <c r="A18" s="57" t="inlineStr">
        <is>
          <t>CMD-2024-0017</t>
        </is>
      </c>
      <c r="B18" s="57" t="inlineStr">
        <is>
          <t>PO-SEB-31867</t>
        </is>
      </c>
      <c r="C18" s="58" t="n">
        <v>45588</v>
      </c>
      <c r="D18" s="57" t="inlineStr">
        <is>
          <t>E014</t>
        </is>
      </c>
      <c r="E18" s="57">
        <f>IFERROR(INDEX(Entreprises!$B$2:$B$3000,MATCH(D18,Entreprises!$A$2:$A$3000,0)),"")</f>
        <v/>
      </c>
      <c r="F18" s="57" t="inlineStr">
        <is>
          <t>P008</t>
        </is>
      </c>
      <c r="G18" s="57">
        <f>IFERROR(INDEX(Produits!$C$2:$C$3000,MATCH(F18,Produits!$A$2:$A$3000,0)),"")</f>
        <v/>
      </c>
      <c r="H18" s="60" t="n">
        <v>132</v>
      </c>
      <c r="I18" s="59">
        <f>IFERROR(INDEX(Produits!$G$2:$G$3000,MATCH(F18,Produits!$A$2:$A$3000,0)),"")</f>
        <v/>
      </c>
      <c r="J18" s="62" t="n">
        <v>0.07000000000000001</v>
      </c>
      <c r="K18" s="59">
        <f>IF(OR(H18="",I18=""),"",ROUND(H18*I18*(1-J18),2))</f>
        <v/>
      </c>
      <c r="L18" s="58" t="n">
        <v>45602</v>
      </c>
      <c r="M18" s="58" t="n">
        <v>45600</v>
      </c>
      <c r="N18" s="60">
        <f>IF(M18="","",MAX(0,M18-L18))</f>
        <v/>
      </c>
      <c r="O18" s="57" t="inlineStr">
        <is>
          <t>Facturée</t>
        </is>
      </c>
      <c r="P18" s="57" t="inlineStr">
        <is>
          <t>U004</t>
        </is>
      </c>
    </row>
    <row r="19" ht="15" customHeight="1" s="34">
      <c r="A19" s="57" t="inlineStr">
        <is>
          <t>CMD-2024-0018</t>
        </is>
      </c>
      <c r="B19" s="57" t="inlineStr">
        <is>
          <t>PO-LOR-30284</t>
        </is>
      </c>
      <c r="C19" s="58" t="n">
        <v>45593</v>
      </c>
      <c r="D19" s="57" t="inlineStr">
        <is>
          <t>E027</t>
        </is>
      </c>
      <c r="E19" s="57">
        <f>IFERROR(INDEX(Entreprises!$B$2:$B$3000,MATCH(D19,Entreprises!$A$2:$A$3000,0)),"")</f>
        <v/>
      </c>
      <c r="F19" s="57" t="inlineStr">
        <is>
          <t>P005</t>
        </is>
      </c>
      <c r="G19" s="57">
        <f>IFERROR(INDEX(Produits!$C$2:$C$3000,MATCH(F19,Produits!$A$2:$A$3000,0)),"")</f>
        <v/>
      </c>
      <c r="H19" s="60" t="n">
        <v>67</v>
      </c>
      <c r="I19" s="59">
        <f>IFERROR(INDEX(Produits!$G$2:$G$3000,MATCH(F19,Produits!$A$2:$A$3000,0)),"")</f>
        <v/>
      </c>
      <c r="J19" s="62" t="n">
        <v>0.05</v>
      </c>
      <c r="K19" s="59">
        <f>IF(OR(H19="",I19=""),"",ROUND(H19*I19*(1-J19),2))</f>
        <v/>
      </c>
      <c r="L19" s="58" t="n">
        <v>45607</v>
      </c>
      <c r="M19" s="58" t="n">
        <v>45607</v>
      </c>
      <c r="N19" s="60">
        <f>IF(M19="","",MAX(0,M19-L19))</f>
        <v/>
      </c>
      <c r="O19" s="57" t="inlineStr">
        <is>
          <t>Facturée</t>
        </is>
      </c>
      <c r="P19" s="57" t="inlineStr">
        <is>
          <t>U007</t>
        </is>
      </c>
    </row>
    <row r="20" ht="15" customHeight="1" s="34">
      <c r="A20" s="57" t="inlineStr">
        <is>
          <t>CMD-2024-0019</t>
        </is>
      </c>
      <c r="B20" s="57" t="inlineStr">
        <is>
          <t>PO-SAV-50759</t>
        </is>
      </c>
      <c r="C20" s="58" t="n">
        <v>45593</v>
      </c>
      <c r="D20" s="57" t="inlineStr">
        <is>
          <t>E028</t>
        </is>
      </c>
      <c r="E20" s="57">
        <f>IFERROR(INDEX(Entreprises!$B$2:$B$3000,MATCH(D20,Entreprises!$A$2:$A$3000,0)),"")</f>
        <v/>
      </c>
      <c r="F20" s="57" t="inlineStr">
        <is>
          <t>P007</t>
        </is>
      </c>
      <c r="G20" s="57">
        <f>IFERROR(INDEX(Produits!$C$2:$C$3000,MATCH(F20,Produits!$A$2:$A$3000,0)),"")</f>
        <v/>
      </c>
      <c r="H20" s="60" t="n">
        <v>33</v>
      </c>
      <c r="I20" s="59">
        <f>IFERROR(INDEX(Produits!$G$2:$G$3000,MATCH(F20,Produits!$A$2:$A$3000,0)),"")</f>
        <v/>
      </c>
      <c r="J20" s="62" t="n">
        <v>0.07000000000000001</v>
      </c>
      <c r="K20" s="59">
        <f>IF(OR(H20="",I20=""),"",ROUND(H20*I20*(1-J20),2))</f>
        <v/>
      </c>
      <c r="L20" s="58" t="n">
        <v>45607</v>
      </c>
      <c r="M20" s="58" t="n">
        <v>45610</v>
      </c>
      <c r="N20" s="60">
        <f>IF(M20="","",MAX(0,M20-L20))</f>
        <v/>
      </c>
      <c r="O20" s="57" t="inlineStr">
        <is>
          <t>Facturée</t>
        </is>
      </c>
      <c r="P20" s="57" t="inlineStr">
        <is>
          <t>U007</t>
        </is>
      </c>
    </row>
    <row r="21" ht="15" customHeight="1" s="34">
      <c r="A21" s="57" t="inlineStr">
        <is>
          <t>CMD-2024-0020</t>
        </is>
      </c>
      <c r="B21" s="57" t="inlineStr">
        <is>
          <t>PO-GUE-33292</t>
        </is>
      </c>
      <c r="C21" s="58" t="n">
        <v>45594</v>
      </c>
      <c r="D21" s="57" t="inlineStr">
        <is>
          <t>E003</t>
        </is>
      </c>
      <c r="E21" s="57">
        <f>IFERROR(INDEX(Entreprises!$B$2:$B$3000,MATCH(D21,Entreprises!$A$2:$A$3000,0)),"")</f>
        <v/>
      </c>
      <c r="F21" s="57" t="inlineStr">
        <is>
          <t>P001</t>
        </is>
      </c>
      <c r="G21" s="57">
        <f>IFERROR(INDEX(Produits!$C$2:$C$3000,MATCH(F21,Produits!$A$2:$A$3000,0)),"")</f>
        <v/>
      </c>
      <c r="H21" s="60" t="n">
        <v>95</v>
      </c>
      <c r="I21" s="59">
        <f>IFERROR(INDEX(Produits!$G$2:$G$3000,MATCH(F21,Produits!$A$2:$A$3000,0)),"")</f>
        <v/>
      </c>
      <c r="J21" s="62" t="n">
        <v>0.04</v>
      </c>
      <c r="K21" s="59">
        <f>IF(OR(H21="",I21=""),"",ROUND(H21*I21*(1-J21),2))</f>
        <v/>
      </c>
      <c r="L21" s="58" t="n">
        <v>45608</v>
      </c>
      <c r="M21" s="58" t="n">
        <v>45610</v>
      </c>
      <c r="N21" s="60">
        <f>IF(M21="","",MAX(0,M21-L21))</f>
        <v/>
      </c>
      <c r="O21" s="57" t="inlineStr">
        <is>
          <t>Facturée</t>
        </is>
      </c>
      <c r="P21" s="57" t="inlineStr">
        <is>
          <t>U002</t>
        </is>
      </c>
    </row>
    <row r="22" ht="15" customHeight="1" s="34">
      <c r="A22" s="57" t="inlineStr">
        <is>
          <t>CMD-2024-0021</t>
        </is>
      </c>
      <c r="B22" s="57" t="inlineStr">
        <is>
          <t>PO-BIO-66537</t>
        </is>
      </c>
      <c r="C22" s="58" t="n">
        <v>45595</v>
      </c>
      <c r="D22" s="57" t="inlineStr">
        <is>
          <t>E012</t>
        </is>
      </c>
      <c r="E22" s="57">
        <f>IFERROR(INDEX(Entreprises!$B$2:$B$3000,MATCH(D22,Entreprises!$A$2:$A$3000,0)),"")</f>
        <v/>
      </c>
      <c r="F22" s="57" t="inlineStr">
        <is>
          <t>P004</t>
        </is>
      </c>
      <c r="G22" s="57">
        <f>IFERROR(INDEX(Produits!$C$2:$C$3000,MATCH(F22,Produits!$A$2:$A$3000,0)),"")</f>
        <v/>
      </c>
      <c r="H22" s="60" t="n">
        <v>118</v>
      </c>
      <c r="I22" s="59">
        <f>IFERROR(INDEX(Produits!$G$2:$G$3000,MATCH(F22,Produits!$A$2:$A$3000,0)),"")</f>
        <v/>
      </c>
      <c r="J22" s="62" t="n">
        <v>0.07000000000000001</v>
      </c>
      <c r="K22" s="59">
        <f>IF(OR(H22="",I22=""),"",ROUND(H22*I22*(1-J22),2))</f>
        <v/>
      </c>
      <c r="L22" s="58" t="n">
        <v>45609</v>
      </c>
      <c r="M22" s="58" t="n">
        <v>45608</v>
      </c>
      <c r="N22" s="60">
        <f>IF(M22="","",MAX(0,M22-L22))</f>
        <v/>
      </c>
      <c r="O22" s="57" t="inlineStr">
        <is>
          <t>Facturée</t>
        </is>
      </c>
      <c r="P22" s="57" t="inlineStr">
        <is>
          <t>U004</t>
        </is>
      </c>
    </row>
    <row r="23" ht="15" customHeight="1" s="34">
      <c r="A23" s="57" t="inlineStr">
        <is>
          <t>CMD-2024-0022</t>
        </is>
      </c>
      <c r="B23" s="57" t="inlineStr">
        <is>
          <t>PO-SAN-20936</t>
        </is>
      </c>
      <c r="C23" s="58" t="n">
        <v>45595</v>
      </c>
      <c r="D23" s="57" t="inlineStr">
        <is>
          <t>E022</t>
        </is>
      </c>
      <c r="E23" s="57">
        <f>IFERROR(INDEX(Entreprises!$B$2:$B$3000,MATCH(D23,Entreprises!$A$2:$A$3000,0)),"")</f>
        <v/>
      </c>
      <c r="F23" s="57" t="inlineStr">
        <is>
          <t>P001</t>
        </is>
      </c>
      <c r="G23" s="57">
        <f>IFERROR(INDEX(Produits!$C$2:$C$3000,MATCH(F23,Produits!$A$2:$A$3000,0)),"")</f>
        <v/>
      </c>
      <c r="H23" s="60" t="n">
        <v>310</v>
      </c>
      <c r="I23" s="59">
        <f>IFERROR(INDEX(Produits!$G$2:$G$3000,MATCH(F23,Produits!$A$2:$A$3000,0)),"")</f>
        <v/>
      </c>
      <c r="J23" s="62" t="n">
        <v>0.08</v>
      </c>
      <c r="K23" s="59">
        <f>IF(OR(H23="",I23=""),"",ROUND(H23*I23*(1-J23),2))</f>
        <v/>
      </c>
      <c r="L23" s="58" t="n">
        <v>45609</v>
      </c>
      <c r="M23" s="58" t="n">
        <v>45608</v>
      </c>
      <c r="N23" s="60">
        <f>IF(M23="","",MAX(0,M23-L23))</f>
        <v/>
      </c>
      <c r="O23" s="57" t="inlineStr">
        <is>
          <t>Facturée</t>
        </is>
      </c>
      <c r="P23" s="57" t="inlineStr">
        <is>
          <t>U006</t>
        </is>
      </c>
    </row>
    <row r="24" ht="15" customHeight="1" s="34">
      <c r="A24" s="57" t="inlineStr">
        <is>
          <t>CMD-2024-0023</t>
        </is>
      </c>
      <c r="B24" s="57" t="inlineStr">
        <is>
          <t>PO-INT-72327</t>
        </is>
      </c>
      <c r="C24" s="58" t="n">
        <v>45610</v>
      </c>
      <c r="D24" s="57" t="inlineStr">
        <is>
          <t>E004</t>
        </is>
      </c>
      <c r="E24" s="57">
        <f>IFERROR(INDEX(Entreprises!$B$2:$B$3000,MATCH(D24,Entreprises!$A$2:$A$3000,0)),"")</f>
        <v/>
      </c>
      <c r="F24" s="57" t="inlineStr">
        <is>
          <t>P008</t>
        </is>
      </c>
      <c r="G24" s="57">
        <f>IFERROR(INDEX(Produits!$C$2:$C$3000,MATCH(F24,Produits!$A$2:$A$3000,0)),"")</f>
        <v/>
      </c>
      <c r="H24" s="60" t="n">
        <v>38</v>
      </c>
      <c r="I24" s="59">
        <f>IFERROR(INDEX(Produits!$G$2:$G$3000,MATCH(F24,Produits!$A$2:$A$3000,0)),"")</f>
        <v/>
      </c>
      <c r="J24" s="62" t="n">
        <v>0.03</v>
      </c>
      <c r="K24" s="59">
        <f>IF(OR(H24="",I24=""),"",ROUND(H24*I24*(1-J24),2))</f>
        <v/>
      </c>
      <c r="L24" s="58" t="n">
        <v>45624</v>
      </c>
      <c r="M24" s="58" t="n">
        <v>45623</v>
      </c>
      <c r="N24" s="60">
        <f>IF(M24="","",MAX(0,M24-L24))</f>
        <v/>
      </c>
      <c r="O24" s="57" t="inlineStr">
        <is>
          <t>Facturée</t>
        </is>
      </c>
      <c r="P24" s="57" t="inlineStr">
        <is>
          <t>U002</t>
        </is>
      </c>
    </row>
    <row r="25" ht="15" customHeight="1" s="34">
      <c r="A25" s="57" t="inlineStr">
        <is>
          <t>CMD-2024-0024</t>
        </is>
      </c>
      <c r="B25" s="57" t="inlineStr">
        <is>
          <t>PO-NEX-39179</t>
        </is>
      </c>
      <c r="C25" s="58" t="n">
        <v>45614</v>
      </c>
      <c r="D25" s="57" t="inlineStr">
        <is>
          <t>E007</t>
        </is>
      </c>
      <c r="E25" s="57">
        <f>IFERROR(INDEX(Entreprises!$B$2:$B$3000,MATCH(D25,Entreprises!$A$2:$A$3000,0)),"")</f>
        <v/>
      </c>
      <c r="F25" s="57" t="inlineStr">
        <is>
          <t>P007</t>
        </is>
      </c>
      <c r="G25" s="57">
        <f>IFERROR(INDEX(Produits!$C$2:$C$3000,MATCH(F25,Produits!$A$2:$A$3000,0)),"")</f>
        <v/>
      </c>
      <c r="H25" s="60" t="n">
        <v>26</v>
      </c>
      <c r="I25" s="59">
        <f>IFERROR(INDEX(Produits!$G$2:$G$3000,MATCH(F25,Produits!$A$2:$A$3000,0)),"")</f>
        <v/>
      </c>
      <c r="J25" s="62" t="n">
        <v>0.07000000000000001</v>
      </c>
      <c r="K25" s="59">
        <f>IF(OR(H25="",I25=""),"",ROUND(H25*I25*(1-J25),2))</f>
        <v/>
      </c>
      <c r="L25" s="58" t="n">
        <v>45628</v>
      </c>
      <c r="M25" s="58" t="n">
        <v>45631</v>
      </c>
      <c r="N25" s="60">
        <f>IF(M25="","",MAX(0,M25-L25))</f>
        <v/>
      </c>
      <c r="O25" s="57" t="inlineStr">
        <is>
          <t>Facturée</t>
        </is>
      </c>
      <c r="P25" s="57" t="inlineStr">
        <is>
          <t>U002</t>
        </is>
      </c>
    </row>
    <row r="26" ht="15" customHeight="1" s="34">
      <c r="A26" s="57" t="inlineStr">
        <is>
          <t>CMD-2024-0025</t>
        </is>
      </c>
      <c r="B26" s="57" t="inlineStr">
        <is>
          <t>PO-KRO-38603</t>
        </is>
      </c>
      <c r="C26" s="58" t="n">
        <v>45615</v>
      </c>
      <c r="D26" s="57" t="inlineStr">
        <is>
          <t>E011</t>
        </is>
      </c>
      <c r="E26" s="57">
        <f>IFERROR(INDEX(Entreprises!$B$2:$B$3000,MATCH(D26,Entreprises!$A$2:$A$3000,0)),"")</f>
        <v/>
      </c>
      <c r="F26" s="57" t="inlineStr">
        <is>
          <t>P007</t>
        </is>
      </c>
      <c r="G26" s="57">
        <f>IFERROR(INDEX(Produits!$C$2:$C$3000,MATCH(F26,Produits!$A$2:$A$3000,0)),"")</f>
        <v/>
      </c>
      <c r="H26" s="60" t="n">
        <v>30</v>
      </c>
      <c r="I26" s="59">
        <f>IFERROR(INDEX(Produits!$G$2:$G$3000,MATCH(F26,Produits!$A$2:$A$3000,0)),"")</f>
        <v/>
      </c>
      <c r="J26" s="62" t="n">
        <v>0.06</v>
      </c>
      <c r="K26" s="59">
        <f>IF(OR(H26="",I26=""),"",ROUND(H26*I26*(1-J26),2))</f>
        <v/>
      </c>
      <c r="L26" s="58" t="n">
        <v>45629</v>
      </c>
      <c r="M26" s="58" t="n">
        <v>45630</v>
      </c>
      <c r="N26" s="60">
        <f>IF(M26="","",MAX(0,M26-L26))</f>
        <v/>
      </c>
      <c r="O26" s="57" t="inlineStr">
        <is>
          <t>Facturée</t>
        </is>
      </c>
      <c r="P26" s="57" t="inlineStr">
        <is>
          <t>U003</t>
        </is>
      </c>
    </row>
    <row r="27" ht="15" customHeight="1" s="34">
      <c r="A27" s="57" t="inlineStr">
        <is>
          <t>CMD-2024-0026</t>
        </is>
      </c>
      <c r="B27" s="57" t="inlineStr">
        <is>
          <t>PO-PER-23568</t>
        </is>
      </c>
      <c r="C27" s="58" t="n">
        <v>45616</v>
      </c>
      <c r="D27" s="57" t="inlineStr">
        <is>
          <t>E025</t>
        </is>
      </c>
      <c r="E27" s="57">
        <f>IFERROR(INDEX(Entreprises!$B$2:$B$3000,MATCH(D27,Entreprises!$A$2:$A$3000,0)),"")</f>
        <v/>
      </c>
      <c r="F27" s="57" t="inlineStr">
        <is>
          <t>P006</t>
        </is>
      </c>
      <c r="G27" s="57">
        <f>IFERROR(INDEX(Produits!$C$2:$C$3000,MATCH(F27,Produits!$A$2:$A$3000,0)),"")</f>
        <v/>
      </c>
      <c r="H27" s="60" t="n">
        <v>81</v>
      </c>
      <c r="I27" s="59">
        <f>IFERROR(INDEX(Produits!$G$2:$G$3000,MATCH(F27,Produits!$A$2:$A$3000,0)),"")</f>
        <v/>
      </c>
      <c r="J27" s="62" t="n">
        <v>0.08</v>
      </c>
      <c r="K27" s="59">
        <f>IF(OR(H27="",I27=""),"",ROUND(H27*I27*(1-J27),2))</f>
        <v/>
      </c>
      <c r="L27" s="58" t="n">
        <v>45630</v>
      </c>
      <c r="M27" s="58" t="n">
        <v>45630</v>
      </c>
      <c r="N27" s="60">
        <f>IF(M27="","",MAX(0,M27-L27))</f>
        <v/>
      </c>
      <c r="O27" s="57" t="inlineStr">
        <is>
          <t>Facturée</t>
        </is>
      </c>
      <c r="P27" s="57" t="inlineStr">
        <is>
          <t>U007</t>
        </is>
      </c>
    </row>
    <row r="28" ht="15" customHeight="1" s="34">
      <c r="A28" s="57" t="inlineStr">
        <is>
          <t>CMD-2024-0027</t>
        </is>
      </c>
      <c r="B28" s="57" t="inlineStr">
        <is>
          <t>PO-BON-46582</t>
        </is>
      </c>
      <c r="C28" s="58" t="n">
        <v>45618</v>
      </c>
      <c r="D28" s="57" t="inlineStr">
        <is>
          <t>E001</t>
        </is>
      </c>
      <c r="E28" s="57">
        <f>IFERROR(INDEX(Entreprises!$B$2:$B$3000,MATCH(D28,Entreprises!$A$2:$A$3000,0)),"")</f>
        <v/>
      </c>
      <c r="F28" s="57" t="inlineStr">
        <is>
          <t>P003</t>
        </is>
      </c>
      <c r="G28" s="57">
        <f>IFERROR(INDEX(Produits!$C$2:$C$3000,MATCH(F28,Produits!$A$2:$A$3000,0)),"")</f>
        <v/>
      </c>
      <c r="H28" s="60" t="n">
        <v>162</v>
      </c>
      <c r="I28" s="59">
        <f>IFERROR(INDEX(Produits!$G$2:$G$3000,MATCH(F28,Produits!$A$2:$A$3000,0)),"")</f>
        <v/>
      </c>
      <c r="J28" s="62" t="n">
        <v>0.08</v>
      </c>
      <c r="K28" s="59">
        <f>IF(OR(H28="",I28=""),"",ROUND(H28*I28*(1-J28),2))</f>
        <v/>
      </c>
      <c r="L28" s="58" t="n">
        <v>45632</v>
      </c>
      <c r="M28" s="58" t="n">
        <v>45635</v>
      </c>
      <c r="N28" s="60">
        <f>IF(M28="","",MAX(0,M28-L28))</f>
        <v/>
      </c>
      <c r="O28" s="57" t="inlineStr">
        <is>
          <t>Facturée</t>
        </is>
      </c>
      <c r="P28" s="57" t="inlineStr">
        <is>
          <t>U002</t>
        </is>
      </c>
    </row>
    <row r="29" ht="15" customHeight="1" s="34">
      <c r="A29" s="57" t="inlineStr">
        <is>
          <t>CMD-2024-0028</t>
        </is>
      </c>
      <c r="B29" s="57" t="inlineStr">
        <is>
          <t>PO-LAU-21765</t>
        </is>
      </c>
      <c r="C29" s="58" t="n">
        <v>45621</v>
      </c>
      <c r="D29" s="57" t="inlineStr">
        <is>
          <t>E009</t>
        </is>
      </c>
      <c r="E29" s="57">
        <f>IFERROR(INDEX(Entreprises!$B$2:$B$3000,MATCH(D29,Entreprises!$A$2:$A$3000,0)),"")</f>
        <v/>
      </c>
      <c r="F29" s="57" t="inlineStr">
        <is>
          <t>P007</t>
        </is>
      </c>
      <c r="G29" s="57">
        <f>IFERROR(INDEX(Produits!$C$2:$C$3000,MATCH(F29,Produits!$A$2:$A$3000,0)),"")</f>
        <v/>
      </c>
      <c r="H29" s="60" t="n">
        <v>32</v>
      </c>
      <c r="I29" s="59">
        <f>IFERROR(INDEX(Produits!$G$2:$G$3000,MATCH(F29,Produits!$A$2:$A$3000,0)),"")</f>
        <v/>
      </c>
      <c r="J29" s="62" t="n">
        <v>0.03</v>
      </c>
      <c r="K29" s="59">
        <f>IF(OR(H29="",I29=""),"",ROUND(H29*I29*(1-J29),2))</f>
        <v/>
      </c>
      <c r="L29" s="58" t="n">
        <v>45635</v>
      </c>
      <c r="M29" s="58" t="n">
        <v>45635</v>
      </c>
      <c r="N29" s="60">
        <f>IF(M29="","",MAX(0,M29-L29))</f>
        <v/>
      </c>
      <c r="O29" s="57" t="inlineStr">
        <is>
          <t>Facturée</t>
        </is>
      </c>
      <c r="P29" s="57" t="inlineStr">
        <is>
          <t>U003</t>
        </is>
      </c>
    </row>
    <row r="30" ht="15" customHeight="1" s="34">
      <c r="A30" s="57" t="inlineStr">
        <is>
          <t>CMD-2024-0029</t>
        </is>
      </c>
      <c r="B30" s="57" t="inlineStr">
        <is>
          <t>PO-MAI-90426</t>
        </is>
      </c>
      <c r="C30" s="58" t="n">
        <v>45621</v>
      </c>
      <c r="D30" s="57" t="inlineStr">
        <is>
          <t>E018</t>
        </is>
      </c>
      <c r="E30" s="57">
        <f>IFERROR(INDEX(Entreprises!$B$2:$B$3000,MATCH(D30,Entreprises!$A$2:$A$3000,0)),"")</f>
        <v/>
      </c>
      <c r="F30" s="57" t="inlineStr">
        <is>
          <t>P006</t>
        </is>
      </c>
      <c r="G30" s="57">
        <f>IFERROR(INDEX(Produits!$C$2:$C$3000,MATCH(F30,Produits!$A$2:$A$3000,0)),"")</f>
        <v/>
      </c>
      <c r="H30" s="60" t="n">
        <v>6</v>
      </c>
      <c r="I30" s="59">
        <f>IFERROR(INDEX(Produits!$G$2:$G$3000,MATCH(F30,Produits!$A$2:$A$3000,0)),"")</f>
        <v/>
      </c>
      <c r="J30" s="62" t="n">
        <v>0.02</v>
      </c>
      <c r="K30" s="59">
        <f>IF(OR(H30="",I30=""),"",ROUND(H30*I30*(1-J30),2))</f>
        <v/>
      </c>
      <c r="L30" s="58" t="n">
        <v>45635</v>
      </c>
      <c r="M30" s="58" t="n">
        <v>45635</v>
      </c>
      <c r="N30" s="60">
        <f>IF(M30="","",MAX(0,M30-L30))</f>
        <v/>
      </c>
      <c r="O30" s="57" t="inlineStr">
        <is>
          <t>Facturée</t>
        </is>
      </c>
      <c r="P30" s="57" t="inlineStr">
        <is>
          <t>U005</t>
        </is>
      </c>
    </row>
    <row r="31" ht="15" customHeight="1" s="34">
      <c r="A31" s="57" t="inlineStr">
        <is>
          <t>CMD-2024-0030</t>
        </is>
      </c>
      <c r="B31" s="57" t="inlineStr">
        <is>
          <t>PO-LES-93529</t>
        </is>
      </c>
      <c r="C31" s="58" t="n">
        <v>45635</v>
      </c>
      <c r="D31" s="57" t="inlineStr">
        <is>
          <t>E002</t>
        </is>
      </c>
      <c r="E31" s="57">
        <f>IFERROR(INDEX(Entreprises!$B$2:$B$3000,MATCH(D31,Entreprises!$A$2:$A$3000,0)),"")</f>
        <v/>
      </c>
      <c r="F31" s="57" t="inlineStr">
        <is>
          <t>P007</t>
        </is>
      </c>
      <c r="G31" s="57">
        <f>IFERROR(INDEX(Produits!$C$2:$C$3000,MATCH(F31,Produits!$A$2:$A$3000,0)),"")</f>
        <v/>
      </c>
      <c r="H31" s="60" t="n">
        <v>62</v>
      </c>
      <c r="I31" s="59">
        <f>IFERROR(INDEX(Produits!$G$2:$G$3000,MATCH(F31,Produits!$A$2:$A$3000,0)),"")</f>
        <v/>
      </c>
      <c r="J31" s="62" t="n">
        <v>0.07000000000000001</v>
      </c>
      <c r="K31" s="59">
        <f>IF(OR(H31="",I31=""),"",ROUND(H31*I31*(1-J31),2))</f>
        <v/>
      </c>
      <c r="L31" s="58" t="n">
        <v>45649</v>
      </c>
      <c r="M31" s="58" t="n">
        <v>45650</v>
      </c>
      <c r="N31" s="60">
        <f>IF(M31="","",MAX(0,M31-L31))</f>
        <v/>
      </c>
      <c r="O31" s="57" t="inlineStr">
        <is>
          <t>Facturée</t>
        </is>
      </c>
      <c r="P31" s="57" t="inlineStr">
        <is>
          <t>U002</t>
        </is>
      </c>
    </row>
    <row r="32" ht="15" customHeight="1" s="34">
      <c r="A32" s="57" t="inlineStr">
        <is>
          <t>CMD-2024-0031</t>
        </is>
      </c>
      <c r="B32" s="57" t="inlineStr">
        <is>
          <t>PO-PIE-12174</t>
        </is>
      </c>
      <c r="C32" s="58" t="n">
        <v>45635</v>
      </c>
      <c r="D32" s="57" t="inlineStr">
        <is>
          <t>E019</t>
        </is>
      </c>
      <c r="E32" s="57">
        <f>IFERROR(INDEX(Entreprises!$B$2:$B$3000,MATCH(D32,Entreprises!$A$2:$A$3000,0)),"")</f>
        <v/>
      </c>
      <c r="F32" s="57" t="inlineStr">
        <is>
          <t>P002</t>
        </is>
      </c>
      <c r="G32" s="57">
        <f>IFERROR(INDEX(Produits!$C$2:$C$3000,MATCH(F32,Produits!$A$2:$A$3000,0)),"")</f>
        <v/>
      </c>
      <c r="H32" s="60" t="n">
        <v>469</v>
      </c>
      <c r="I32" s="59">
        <f>IFERROR(INDEX(Produits!$G$2:$G$3000,MATCH(F32,Produits!$A$2:$A$3000,0)),"")</f>
        <v/>
      </c>
      <c r="J32" s="62" t="n">
        <v>0.08</v>
      </c>
      <c r="K32" s="59">
        <f>IF(OR(H32="",I32=""),"",ROUND(H32*I32*(1-J32),2))</f>
        <v/>
      </c>
      <c r="L32" s="58" t="n">
        <v>45649</v>
      </c>
      <c r="M32" s="58" t="n">
        <v>45649</v>
      </c>
      <c r="N32" s="60">
        <f>IF(M32="","",MAX(0,M32-L32))</f>
        <v/>
      </c>
      <c r="O32" s="57" t="inlineStr">
        <is>
          <t>Facturée</t>
        </is>
      </c>
      <c r="P32" s="57" t="inlineStr">
        <is>
          <t>U005</t>
        </is>
      </c>
    </row>
    <row r="33" ht="15" customHeight="1" s="34">
      <c r="A33" s="57" t="inlineStr">
        <is>
          <t>CMD-2024-0032</t>
        </is>
      </c>
      <c r="B33" s="57" t="inlineStr">
        <is>
          <t>PO-SAN-75949</t>
        </is>
      </c>
      <c r="C33" s="58" t="n">
        <v>45635</v>
      </c>
      <c r="D33" s="57" t="inlineStr">
        <is>
          <t>E022</t>
        </is>
      </c>
      <c r="E33" s="57">
        <f>IFERROR(INDEX(Entreprises!$B$2:$B$3000,MATCH(D33,Entreprises!$A$2:$A$3000,0)),"")</f>
        <v/>
      </c>
      <c r="F33" s="57" t="inlineStr">
        <is>
          <t>P004</t>
        </is>
      </c>
      <c r="G33" s="57">
        <f>IFERROR(INDEX(Produits!$C$2:$C$3000,MATCH(F33,Produits!$A$2:$A$3000,0)),"")</f>
        <v/>
      </c>
      <c r="H33" s="60" t="n">
        <v>322</v>
      </c>
      <c r="I33" s="59">
        <f>IFERROR(INDEX(Produits!$G$2:$G$3000,MATCH(F33,Produits!$A$2:$A$3000,0)),"")</f>
        <v/>
      </c>
      <c r="J33" s="62" t="n">
        <v>0.06</v>
      </c>
      <c r="K33" s="59">
        <f>IF(OR(H33="",I33=""),"",ROUND(H33*I33*(1-J33),2))</f>
        <v/>
      </c>
      <c r="L33" s="58" t="n">
        <v>45649</v>
      </c>
      <c r="M33" s="58" t="n">
        <v>45649</v>
      </c>
      <c r="N33" s="60">
        <f>IF(M33="","",MAX(0,M33-L33))</f>
        <v/>
      </c>
      <c r="O33" s="57" t="inlineStr">
        <is>
          <t>Facturée</t>
        </is>
      </c>
      <c r="P33" s="57" t="inlineStr">
        <is>
          <t>U006</t>
        </is>
      </c>
    </row>
    <row r="34" ht="15" customHeight="1" s="34">
      <c r="A34" s="57" t="inlineStr">
        <is>
          <t>CMD-2024-0033</t>
        </is>
      </c>
      <c r="B34" s="57" t="inlineStr">
        <is>
          <t>PO-SAV-46486</t>
        </is>
      </c>
      <c r="C34" s="58" t="n">
        <v>45635</v>
      </c>
      <c r="D34" s="57" t="inlineStr">
        <is>
          <t>E028</t>
        </is>
      </c>
      <c r="E34" s="57">
        <f>IFERROR(INDEX(Entreprises!$B$2:$B$3000,MATCH(D34,Entreprises!$A$2:$A$3000,0)),"")</f>
        <v/>
      </c>
      <c r="F34" s="57" t="inlineStr">
        <is>
          <t>P003</t>
        </is>
      </c>
      <c r="G34" s="57">
        <f>IFERROR(INDEX(Produits!$C$2:$C$3000,MATCH(F34,Produits!$A$2:$A$3000,0)),"")</f>
        <v/>
      </c>
      <c r="H34" s="60" t="n">
        <v>142</v>
      </c>
      <c r="I34" s="59">
        <f>IFERROR(INDEX(Produits!$G$2:$G$3000,MATCH(F34,Produits!$A$2:$A$3000,0)),"")</f>
        <v/>
      </c>
      <c r="J34" s="62" t="n">
        <v>0.06</v>
      </c>
      <c r="K34" s="59">
        <f>IF(OR(H34="",I34=""),"",ROUND(H34*I34*(1-J34),2))</f>
        <v/>
      </c>
      <c r="L34" s="58" t="n">
        <v>45649</v>
      </c>
      <c r="M34" s="58" t="n">
        <v>45651</v>
      </c>
      <c r="N34" s="60">
        <f>IF(M34="","",MAX(0,M34-L34))</f>
        <v/>
      </c>
      <c r="O34" s="57" t="inlineStr">
        <is>
          <t>Facturée</t>
        </is>
      </c>
      <c r="P34" s="57" t="inlineStr">
        <is>
          <t>U007</t>
        </is>
      </c>
    </row>
    <row r="35" ht="15" customHeight="1" s="34">
      <c r="A35" s="57" t="inlineStr">
        <is>
          <t>CMD-2024-0034</t>
        </is>
      </c>
      <c r="B35" s="57" t="inlineStr">
        <is>
          <t>PO-GUE-81615</t>
        </is>
      </c>
      <c r="C35" s="58" t="n">
        <v>45639</v>
      </c>
      <c r="D35" s="57" t="inlineStr">
        <is>
          <t>E003</t>
        </is>
      </c>
      <c r="E35" s="57">
        <f>IFERROR(INDEX(Entreprises!$B$2:$B$3000,MATCH(D35,Entreprises!$A$2:$A$3000,0)),"")</f>
        <v/>
      </c>
      <c r="F35" s="57" t="inlineStr">
        <is>
          <t>P001</t>
        </is>
      </c>
      <c r="G35" s="57">
        <f>IFERROR(INDEX(Produits!$C$2:$C$3000,MATCH(F35,Produits!$A$2:$A$3000,0)),"")</f>
        <v/>
      </c>
      <c r="H35" s="60" t="n">
        <v>91</v>
      </c>
      <c r="I35" s="59">
        <f>IFERROR(INDEX(Produits!$G$2:$G$3000,MATCH(F35,Produits!$A$2:$A$3000,0)),"")</f>
        <v/>
      </c>
      <c r="J35" s="62" t="n">
        <v>0.04</v>
      </c>
      <c r="K35" s="59">
        <f>IF(OR(H35="",I35=""),"",ROUND(H35*I35*(1-J35),2))</f>
        <v/>
      </c>
      <c r="L35" s="58" t="n">
        <v>45653</v>
      </c>
      <c r="M35" s="58" t="n">
        <v>45652</v>
      </c>
      <c r="N35" s="60">
        <f>IF(M35="","",MAX(0,M35-L35))</f>
        <v/>
      </c>
      <c r="O35" s="57" t="inlineStr">
        <is>
          <t>Facturée</t>
        </is>
      </c>
      <c r="P35" s="57" t="inlineStr">
        <is>
          <t>U002</t>
        </is>
      </c>
    </row>
    <row r="36" ht="15" customHeight="1" s="34">
      <c r="A36" s="57" t="inlineStr">
        <is>
          <t>CMD-2024-0035</t>
        </is>
      </c>
      <c r="B36" s="57" t="inlineStr">
        <is>
          <t>PO-REM-53549</t>
        </is>
      </c>
      <c r="C36" s="58" t="n">
        <v>45642</v>
      </c>
      <c r="D36" s="57" t="inlineStr">
        <is>
          <t>E017</t>
        </is>
      </c>
      <c r="E36" s="57">
        <f>IFERROR(INDEX(Entreprises!$B$2:$B$3000,MATCH(D36,Entreprises!$A$2:$A$3000,0)),"")</f>
        <v/>
      </c>
      <c r="F36" s="57" t="inlineStr">
        <is>
          <t>P006</t>
        </is>
      </c>
      <c r="G36" s="57">
        <f>IFERROR(INDEX(Produits!$C$2:$C$3000,MATCH(F36,Produits!$A$2:$A$3000,0)),"")</f>
        <v/>
      </c>
      <c r="H36" s="60" t="n">
        <v>31</v>
      </c>
      <c r="I36" s="59">
        <f>IFERROR(INDEX(Produits!$G$2:$G$3000,MATCH(F36,Produits!$A$2:$A$3000,0)),"")</f>
        <v/>
      </c>
      <c r="J36" s="62" t="n">
        <v>0.07000000000000001</v>
      </c>
      <c r="K36" s="59">
        <f>IF(OR(H36="",I36=""),"",ROUND(H36*I36*(1-J36),2))</f>
        <v/>
      </c>
      <c r="L36" s="58" t="n">
        <v>45656</v>
      </c>
      <c r="M36" s="58" t="n">
        <v>45656</v>
      </c>
      <c r="N36" s="60">
        <f>IF(M36="","",MAX(0,M36-L36))</f>
        <v/>
      </c>
      <c r="O36" s="57" t="inlineStr">
        <is>
          <t>Facturée</t>
        </is>
      </c>
      <c r="P36" s="57" t="inlineStr">
        <is>
          <t>U005</t>
        </is>
      </c>
    </row>
    <row r="37" ht="15" customHeight="1" s="34">
      <c r="A37" s="57" t="inlineStr">
        <is>
          <t>CMD-2024-0036</t>
        </is>
      </c>
      <c r="B37" s="57" t="inlineStr">
        <is>
          <t>PO-BOI-55681</t>
        </is>
      </c>
      <c r="C37" s="58" t="n">
        <v>45646</v>
      </c>
      <c r="D37" s="57" t="inlineStr">
        <is>
          <t>E013</t>
        </is>
      </c>
      <c r="E37" s="57">
        <f>IFERROR(INDEX(Entreprises!$B$2:$B$3000,MATCH(D37,Entreprises!$A$2:$A$3000,0)),"")</f>
        <v/>
      </c>
      <c r="F37" s="57" t="inlineStr">
        <is>
          <t>P001</t>
        </is>
      </c>
      <c r="G37" s="57">
        <f>IFERROR(INDEX(Produits!$C$2:$C$3000,MATCH(F37,Produits!$A$2:$A$3000,0)),"")</f>
        <v/>
      </c>
      <c r="H37" s="60" t="n">
        <v>75</v>
      </c>
      <c r="I37" s="59">
        <f>IFERROR(INDEX(Produits!$G$2:$G$3000,MATCH(F37,Produits!$A$2:$A$3000,0)),"")</f>
        <v/>
      </c>
      <c r="J37" s="62" t="n">
        <v>0.03</v>
      </c>
      <c r="K37" s="59">
        <f>IF(OR(H37="",I37=""),"",ROUND(H37*I37*(1-J37),2))</f>
        <v/>
      </c>
      <c r="L37" s="58" t="n">
        <v>45660</v>
      </c>
      <c r="M37" s="58" t="n">
        <v>45659</v>
      </c>
      <c r="N37" s="60">
        <f>IF(M37="","",MAX(0,M37-L37))</f>
        <v/>
      </c>
      <c r="O37" s="57" t="inlineStr">
        <is>
          <t>Facturée</t>
        </is>
      </c>
      <c r="P37" s="57" t="inlineStr">
        <is>
          <t>U004</t>
        </is>
      </c>
    </row>
    <row r="38" ht="15" customHeight="1" s="34">
      <c r="A38" s="57" t="inlineStr">
        <is>
          <t>CMD-2024-0037</t>
        </is>
      </c>
      <c r="B38" s="57" t="inlineStr">
        <is>
          <t>PO-MOE-25293</t>
        </is>
      </c>
      <c r="C38" s="58" t="n">
        <v>45649</v>
      </c>
      <c r="D38" s="57" t="inlineStr">
        <is>
          <t>E008</t>
        </is>
      </c>
      <c r="E38" s="57">
        <f>IFERROR(INDEX(Entreprises!$B$2:$B$3000,MATCH(D38,Entreprises!$A$2:$A$3000,0)),"")</f>
        <v/>
      </c>
      <c r="F38" s="57" t="inlineStr">
        <is>
          <t>P005</t>
        </is>
      </c>
      <c r="G38" s="57">
        <f>IFERROR(INDEX(Produits!$C$2:$C$3000,MATCH(F38,Produits!$A$2:$A$3000,0)),"")</f>
        <v/>
      </c>
      <c r="H38" s="60" t="n">
        <v>33</v>
      </c>
      <c r="I38" s="59">
        <f>IFERROR(INDEX(Produits!$G$2:$G$3000,MATCH(F38,Produits!$A$2:$A$3000,0)),"")</f>
        <v/>
      </c>
      <c r="J38" s="62" t="n">
        <v>0.08</v>
      </c>
      <c r="K38" s="59">
        <f>IF(OR(H38="",I38=""),"",ROUND(H38*I38*(1-J38),2))</f>
        <v/>
      </c>
      <c r="L38" s="58" t="n">
        <v>45663</v>
      </c>
      <c r="M38" s="58" t="n">
        <v>45664</v>
      </c>
      <c r="N38" s="60">
        <f>IF(M38="","",MAX(0,M38-L38))</f>
        <v/>
      </c>
      <c r="O38" s="57" t="inlineStr">
        <is>
          <t>Facturée</t>
        </is>
      </c>
      <c r="P38" s="57" t="inlineStr">
        <is>
          <t>U003</t>
        </is>
      </c>
    </row>
    <row r="39" ht="15" customHeight="1" s="34">
      <c r="A39" s="57" t="inlineStr">
        <is>
          <t>CMD-2024-0038</t>
        </is>
      </c>
      <c r="B39" s="57" t="inlineStr">
        <is>
          <t>PO-DAN-86420</t>
        </is>
      </c>
      <c r="C39" s="58" t="n">
        <v>45649</v>
      </c>
      <c r="D39" s="57" t="inlineStr">
        <is>
          <t>E026</t>
        </is>
      </c>
      <c r="E39" s="57">
        <f>IFERROR(INDEX(Entreprises!$B$2:$B$3000,MATCH(D39,Entreprises!$A$2:$A$3000,0)),"")</f>
        <v/>
      </c>
      <c r="F39" s="57" t="inlineStr">
        <is>
          <t>P007</t>
        </is>
      </c>
      <c r="G39" s="57">
        <f>IFERROR(INDEX(Produits!$C$2:$C$3000,MATCH(F39,Produits!$A$2:$A$3000,0)),"")</f>
        <v/>
      </c>
      <c r="H39" s="60" t="n">
        <v>143</v>
      </c>
      <c r="I39" s="59">
        <f>IFERROR(INDEX(Produits!$G$2:$G$3000,MATCH(F39,Produits!$A$2:$A$3000,0)),"")</f>
        <v/>
      </c>
      <c r="J39" s="62" t="n">
        <v>0.07000000000000001</v>
      </c>
      <c r="K39" s="59">
        <f>IF(OR(H39="",I39=""),"",ROUND(H39*I39*(1-J39),2))</f>
        <v/>
      </c>
      <c r="L39" s="58" t="n">
        <v>45663</v>
      </c>
      <c r="M39" s="58" t="n">
        <v>45665</v>
      </c>
      <c r="N39" s="60">
        <f>IF(M39="","",MAX(0,M39-L39))</f>
        <v/>
      </c>
      <c r="O39" s="57" t="inlineStr">
        <is>
          <t>Facturée</t>
        </is>
      </c>
      <c r="P39" s="57" t="inlineStr">
        <is>
          <t>U007</t>
        </is>
      </c>
    </row>
    <row r="40" ht="15" customHeight="1" s="34">
      <c r="A40" s="57" t="inlineStr">
        <is>
          <t>CMD-2024-0039</t>
        </is>
      </c>
      <c r="B40" s="57" t="inlineStr">
        <is>
          <t>PO-BIO-87163</t>
        </is>
      </c>
      <c r="C40" s="58" t="n">
        <v>45650</v>
      </c>
      <c r="D40" s="57" t="inlineStr">
        <is>
          <t>E012</t>
        </is>
      </c>
      <c r="E40" s="57">
        <f>IFERROR(INDEX(Entreprises!$B$2:$B$3000,MATCH(D40,Entreprises!$A$2:$A$3000,0)),"")</f>
        <v/>
      </c>
      <c r="F40" s="57" t="inlineStr">
        <is>
          <t>P001</t>
        </is>
      </c>
      <c r="G40" s="57">
        <f>IFERROR(INDEX(Produits!$C$2:$C$3000,MATCH(F40,Produits!$A$2:$A$3000,0)),"")</f>
        <v/>
      </c>
      <c r="H40" s="60" t="n">
        <v>195</v>
      </c>
      <c r="I40" s="59">
        <f>IFERROR(INDEX(Produits!$G$2:$G$3000,MATCH(F40,Produits!$A$2:$A$3000,0)),"")</f>
        <v/>
      </c>
      <c r="J40" s="62" t="n">
        <v>0.07000000000000001</v>
      </c>
      <c r="K40" s="59">
        <f>IF(OR(H40="",I40=""),"",ROUND(H40*I40*(1-J40),2))</f>
        <v/>
      </c>
      <c r="L40" s="58" t="n">
        <v>45664</v>
      </c>
      <c r="M40" s="58" t="n">
        <v>45664</v>
      </c>
      <c r="N40" s="60">
        <f>IF(M40="","",MAX(0,M40-L40))</f>
        <v/>
      </c>
      <c r="O40" s="57" t="inlineStr">
        <is>
          <t>Facturée</t>
        </is>
      </c>
      <c r="P40" s="57" t="inlineStr">
        <is>
          <t>U004</t>
        </is>
      </c>
    </row>
    <row r="41" ht="15" customHeight="1" s="34">
      <c r="A41" s="57" t="inlineStr">
        <is>
          <t>CMD-2024-0040</t>
        </is>
      </c>
      <c r="B41" s="57" t="inlineStr">
        <is>
          <t>PO-IPS-54051</t>
        </is>
      </c>
      <c r="C41" s="58" t="n">
        <v>45650</v>
      </c>
      <c r="D41" s="57" t="inlineStr">
        <is>
          <t>E023</t>
        </is>
      </c>
      <c r="E41" s="57">
        <f>IFERROR(INDEX(Entreprises!$B$2:$B$3000,MATCH(D41,Entreprises!$A$2:$A$3000,0)),"")</f>
        <v/>
      </c>
      <c r="F41" s="57" t="inlineStr">
        <is>
          <t>P001</t>
        </is>
      </c>
      <c r="G41" s="57">
        <f>IFERROR(INDEX(Produits!$C$2:$C$3000,MATCH(F41,Produits!$A$2:$A$3000,0)),"")</f>
        <v/>
      </c>
      <c r="H41" s="60" t="n">
        <v>134</v>
      </c>
      <c r="I41" s="59">
        <f>IFERROR(INDEX(Produits!$G$2:$G$3000,MATCH(F41,Produits!$A$2:$A$3000,0)),"")</f>
        <v/>
      </c>
      <c r="J41" s="62" t="n">
        <v>0.06</v>
      </c>
      <c r="K41" s="59">
        <f>IF(OR(H41="",I41=""),"",ROUND(H41*I41*(1-J41),2))</f>
        <v/>
      </c>
      <c r="L41" s="58" t="n">
        <v>45664</v>
      </c>
      <c r="M41" s="58" t="n">
        <v>45663</v>
      </c>
      <c r="N41" s="60">
        <f>IF(M41="","",MAX(0,M41-L41))</f>
        <v/>
      </c>
      <c r="O41" s="57" t="inlineStr">
        <is>
          <t>Facturée</t>
        </is>
      </c>
      <c r="P41" s="57" t="inlineStr">
        <is>
          <t>U006</t>
        </is>
      </c>
    </row>
    <row r="42" ht="15" customHeight="1" s="34">
      <c r="A42" s="57" t="inlineStr">
        <is>
          <t>CMD-2024-0041</t>
        </is>
      </c>
      <c r="B42" s="57" t="inlineStr">
        <is>
          <t>PO-SEB-60300</t>
        </is>
      </c>
      <c r="C42" s="58" t="n">
        <v>45651</v>
      </c>
      <c r="D42" s="57" t="inlineStr">
        <is>
          <t>E014</t>
        </is>
      </c>
      <c r="E42" s="57">
        <f>IFERROR(INDEX(Entreprises!$B$2:$B$3000,MATCH(D42,Entreprises!$A$2:$A$3000,0)),"")</f>
        <v/>
      </c>
      <c r="F42" s="57" t="inlineStr">
        <is>
          <t>P007</t>
        </is>
      </c>
      <c r="G42" s="57">
        <f>IFERROR(INDEX(Produits!$C$2:$C$3000,MATCH(F42,Produits!$A$2:$A$3000,0)),"")</f>
        <v/>
      </c>
      <c r="H42" s="60" t="n">
        <v>65</v>
      </c>
      <c r="I42" s="59">
        <f>IFERROR(INDEX(Produits!$G$2:$G$3000,MATCH(F42,Produits!$A$2:$A$3000,0)),"")</f>
        <v/>
      </c>
      <c r="J42" s="62" t="n">
        <v>0.07000000000000001</v>
      </c>
      <c r="K42" s="59">
        <f>IF(OR(H42="",I42=""),"",ROUND(H42*I42*(1-J42),2))</f>
        <v/>
      </c>
      <c r="L42" s="58" t="n">
        <v>45665</v>
      </c>
      <c r="M42" s="58" t="n">
        <v>45665</v>
      </c>
      <c r="N42" s="60">
        <f>IF(M42="","",MAX(0,M42-L42))</f>
        <v/>
      </c>
      <c r="O42" s="57" t="inlineStr">
        <is>
          <t>Facturée</t>
        </is>
      </c>
      <c r="P42" s="57" t="inlineStr">
        <is>
          <t>U004</t>
        </is>
      </c>
    </row>
    <row r="43" ht="15" customHeight="1" s="34">
      <c r="A43" s="57" t="inlineStr">
        <is>
          <t>CMD-2024-0042</t>
        </is>
      </c>
      <c r="B43" s="57" t="inlineStr">
        <is>
          <t>PO-LEG-33511</t>
        </is>
      </c>
      <c r="C43" s="58" t="n">
        <v>45656</v>
      </c>
      <c r="D43" s="57" t="inlineStr">
        <is>
          <t>E021</t>
        </is>
      </c>
      <c r="E43" s="57">
        <f>IFERROR(INDEX(Entreprises!$B$2:$B$3000,MATCH(D43,Entreprises!$A$2:$A$3000,0)),"")</f>
        <v/>
      </c>
      <c r="F43" s="57" t="inlineStr">
        <is>
          <t>P008</t>
        </is>
      </c>
      <c r="G43" s="57">
        <f>IFERROR(INDEX(Produits!$C$2:$C$3000,MATCH(F43,Produits!$A$2:$A$3000,0)),"")</f>
        <v/>
      </c>
      <c r="H43" s="60" t="n">
        <v>54</v>
      </c>
      <c r="I43" s="59">
        <f>IFERROR(INDEX(Produits!$G$2:$G$3000,MATCH(F43,Produits!$A$2:$A$3000,0)),"")</f>
        <v/>
      </c>
      <c r="J43" s="62" t="n">
        <v>0.07000000000000001</v>
      </c>
      <c r="K43" s="59">
        <f>IF(OR(H43="",I43=""),"",ROUND(H43*I43*(1-J43),2))</f>
        <v/>
      </c>
      <c r="L43" s="58" t="n">
        <v>45670</v>
      </c>
      <c r="M43" s="58" t="n">
        <v>45671</v>
      </c>
      <c r="N43" s="60">
        <f>IF(M43="","",MAX(0,M43-L43))</f>
        <v/>
      </c>
      <c r="O43" s="57" t="inlineStr">
        <is>
          <t>Facturée</t>
        </is>
      </c>
      <c r="P43" s="57" t="inlineStr">
        <is>
          <t>U005</t>
        </is>
      </c>
    </row>
    <row r="44" ht="15" customHeight="1" s="34">
      <c r="A44" s="57" t="inlineStr">
        <is>
          <t>CMD-2025-0043</t>
        </is>
      </c>
      <c r="B44" s="57" t="inlineStr">
        <is>
          <t>PO-KRO-65589</t>
        </is>
      </c>
      <c r="C44" s="58" t="n">
        <v>45660</v>
      </c>
      <c r="D44" s="57" t="inlineStr">
        <is>
          <t>E011</t>
        </is>
      </c>
      <c r="E44" s="57">
        <f>IFERROR(INDEX(Entreprises!$B$2:$B$3000,MATCH(D44,Entreprises!$A$2:$A$3000,0)),"")</f>
        <v/>
      </c>
      <c r="F44" s="57" t="inlineStr">
        <is>
          <t>P003</t>
        </is>
      </c>
      <c r="G44" s="57">
        <f>IFERROR(INDEX(Produits!$C$2:$C$3000,MATCH(F44,Produits!$A$2:$A$3000,0)),"")</f>
        <v/>
      </c>
      <c r="H44" s="60" t="n">
        <v>126</v>
      </c>
      <c r="I44" s="59">
        <f>IFERROR(INDEX(Produits!$G$2:$G$3000,MATCH(F44,Produits!$A$2:$A$3000,0)),"")</f>
        <v/>
      </c>
      <c r="J44" s="62" t="n">
        <v>0.06</v>
      </c>
      <c r="K44" s="59">
        <f>IF(OR(H44="",I44=""),"",ROUND(H44*I44*(1-J44),2))</f>
        <v/>
      </c>
      <c r="L44" s="58" t="n">
        <v>45674</v>
      </c>
      <c r="M44" s="58" t="n">
        <v>45674</v>
      </c>
      <c r="N44" s="60">
        <f>IF(M44="","",MAX(0,M44-L44))</f>
        <v/>
      </c>
      <c r="O44" s="57" t="inlineStr">
        <is>
          <t>Facturée</t>
        </is>
      </c>
      <c r="P44" s="57" t="inlineStr">
        <is>
          <t>U003</t>
        </is>
      </c>
    </row>
    <row r="45" ht="15" customHeight="1" s="34">
      <c r="A45" s="57" t="inlineStr">
        <is>
          <t>CMD-2025-0044</t>
        </is>
      </c>
      <c r="B45" s="57" t="inlineStr">
        <is>
          <t>PO-LOR-84913</t>
        </is>
      </c>
      <c r="C45" s="58" t="n">
        <v>45663</v>
      </c>
      <c r="D45" s="57" t="inlineStr">
        <is>
          <t>E027</t>
        </is>
      </c>
      <c r="E45" s="57">
        <f>IFERROR(INDEX(Entreprises!$B$2:$B$3000,MATCH(D45,Entreprises!$A$2:$A$3000,0)),"")</f>
        <v/>
      </c>
      <c r="F45" s="57" t="inlineStr">
        <is>
          <t>P005</t>
        </is>
      </c>
      <c r="G45" s="57">
        <f>IFERROR(INDEX(Produits!$C$2:$C$3000,MATCH(F45,Produits!$A$2:$A$3000,0)),"")</f>
        <v/>
      </c>
      <c r="H45" s="60" t="n">
        <v>51</v>
      </c>
      <c r="I45" s="59">
        <f>IFERROR(INDEX(Produits!$G$2:$G$3000,MATCH(F45,Produits!$A$2:$A$3000,0)),"")</f>
        <v/>
      </c>
      <c r="J45" s="62" t="n">
        <v>0.05</v>
      </c>
      <c r="K45" s="59">
        <f>IF(OR(H45="",I45=""),"",ROUND(H45*I45*(1-J45),2))</f>
        <v/>
      </c>
      <c r="L45" s="58" t="n">
        <v>45677</v>
      </c>
      <c r="M45" s="58" t="n">
        <v>45680</v>
      </c>
      <c r="N45" s="60">
        <f>IF(M45="","",MAX(0,M45-L45))</f>
        <v/>
      </c>
      <c r="O45" s="57" t="inlineStr">
        <is>
          <t>Facturée</t>
        </is>
      </c>
      <c r="P45" s="57" t="inlineStr">
        <is>
          <t>U007</t>
        </is>
      </c>
    </row>
    <row r="46" ht="15" customHeight="1" s="34">
      <c r="A46" s="57" t="inlineStr">
        <is>
          <t>CMD-2025-0045</t>
        </is>
      </c>
      <c r="B46" s="57" t="inlineStr">
        <is>
          <t>PO-SCH-79273</t>
        </is>
      </c>
      <c r="C46" s="58" t="n">
        <v>45663</v>
      </c>
      <c r="D46" s="57" t="inlineStr">
        <is>
          <t>E030</t>
        </is>
      </c>
      <c r="E46" s="57">
        <f>IFERROR(INDEX(Entreprises!$B$2:$B$3000,MATCH(D46,Entreprises!$A$2:$A$3000,0)),"")</f>
        <v/>
      </c>
      <c r="F46" s="57" t="inlineStr">
        <is>
          <t>P008</t>
        </is>
      </c>
      <c r="G46" s="57">
        <f>IFERROR(INDEX(Produits!$C$2:$C$3000,MATCH(F46,Produits!$A$2:$A$3000,0)),"")</f>
        <v/>
      </c>
      <c r="H46" s="60" t="n">
        <v>96</v>
      </c>
      <c r="I46" s="59">
        <f>IFERROR(INDEX(Produits!$G$2:$G$3000,MATCH(F46,Produits!$A$2:$A$3000,0)),"")</f>
        <v/>
      </c>
      <c r="J46" s="62" t="n">
        <v>0.05</v>
      </c>
      <c r="K46" s="59">
        <f>IF(OR(H46="",I46=""),"",ROUND(H46*I46*(1-J46),2))</f>
        <v/>
      </c>
      <c r="L46" s="58" t="n">
        <v>45677</v>
      </c>
      <c r="M46" s="58" t="n">
        <v>45677</v>
      </c>
      <c r="N46" s="60">
        <f>IF(M46="","",MAX(0,M46-L46))</f>
        <v/>
      </c>
      <c r="O46" s="57" t="inlineStr">
        <is>
          <t>Facturée</t>
        </is>
      </c>
      <c r="P46" s="57" t="inlineStr">
        <is>
          <t>U007</t>
        </is>
      </c>
    </row>
    <row r="47" ht="15" customHeight="1" s="34">
      <c r="A47" s="57" t="inlineStr">
        <is>
          <t>CMD-2025-0046</t>
        </is>
      </c>
      <c r="B47" s="57" t="inlineStr">
        <is>
          <t>PO-INT-73687</t>
        </is>
      </c>
      <c r="C47" s="58" t="n">
        <v>45666</v>
      </c>
      <c r="D47" s="57" t="inlineStr">
        <is>
          <t>E004</t>
        </is>
      </c>
      <c r="E47" s="57">
        <f>IFERROR(INDEX(Entreprises!$B$2:$B$3000,MATCH(D47,Entreprises!$A$2:$A$3000,0)),"")</f>
        <v/>
      </c>
      <c r="F47" s="57" t="inlineStr">
        <is>
          <t>P008</t>
        </is>
      </c>
      <c r="G47" s="57">
        <f>IFERROR(INDEX(Produits!$C$2:$C$3000,MATCH(F47,Produits!$A$2:$A$3000,0)),"")</f>
        <v/>
      </c>
      <c r="H47" s="60" t="n">
        <v>34</v>
      </c>
      <c r="I47" s="59">
        <f>IFERROR(INDEX(Produits!$G$2:$G$3000,MATCH(F47,Produits!$A$2:$A$3000,0)),"")</f>
        <v/>
      </c>
      <c r="J47" s="62" t="n">
        <v>0.04</v>
      </c>
      <c r="K47" s="59">
        <f>IF(OR(H47="",I47=""),"",ROUND(H47*I47*(1-J47),2))</f>
        <v/>
      </c>
      <c r="L47" s="58" t="n">
        <v>45680</v>
      </c>
      <c r="M47" s="58" t="n">
        <v>45681</v>
      </c>
      <c r="N47" s="60">
        <f>IF(M47="","",MAX(0,M47-L47))</f>
        <v/>
      </c>
      <c r="O47" s="57" t="inlineStr">
        <is>
          <t>Facturée</t>
        </is>
      </c>
      <c r="P47" s="57" t="inlineStr">
        <is>
          <t>U002</t>
        </is>
      </c>
    </row>
    <row r="48" ht="15" customHeight="1" s="34">
      <c r="A48" s="57" t="inlineStr">
        <is>
          <t>CMD-2025-0047</t>
        </is>
      </c>
      <c r="B48" s="57" t="inlineStr">
        <is>
          <t>PO-NEX-63717</t>
        </is>
      </c>
      <c r="C48" s="58" t="n">
        <v>45670</v>
      </c>
      <c r="D48" s="57" t="inlineStr">
        <is>
          <t>E007</t>
        </is>
      </c>
      <c r="E48" s="57">
        <f>IFERROR(INDEX(Entreprises!$B$2:$B$3000,MATCH(D48,Entreprises!$A$2:$A$3000,0)),"")</f>
        <v/>
      </c>
      <c r="F48" s="57" t="inlineStr">
        <is>
          <t>P003</t>
        </is>
      </c>
      <c r="G48" s="57">
        <f>IFERROR(INDEX(Produits!$C$2:$C$3000,MATCH(F48,Produits!$A$2:$A$3000,0)),"")</f>
        <v/>
      </c>
      <c r="H48" s="60" t="n">
        <v>56</v>
      </c>
      <c r="I48" s="59">
        <f>IFERROR(INDEX(Produits!$G$2:$G$3000,MATCH(F48,Produits!$A$2:$A$3000,0)),"")</f>
        <v/>
      </c>
      <c r="J48" s="62" t="n">
        <v>0.08</v>
      </c>
      <c r="K48" s="59">
        <f>IF(OR(H48="",I48=""),"",ROUND(H48*I48*(1-J48),2))</f>
        <v/>
      </c>
      <c r="L48" s="58" t="n">
        <v>45684</v>
      </c>
      <c r="M48" s="58" t="n">
        <v>45684</v>
      </c>
      <c r="N48" s="60">
        <f>IF(M48="","",MAX(0,M48-L48))</f>
        <v/>
      </c>
      <c r="O48" s="57" t="inlineStr">
        <is>
          <t>Facturée</t>
        </is>
      </c>
      <c r="P48" s="57" t="inlineStr">
        <is>
          <t>U002</t>
        </is>
      </c>
    </row>
    <row r="49" ht="15" customHeight="1" s="34">
      <c r="A49" s="57" t="inlineStr">
        <is>
          <t>CMD-2025-0048</t>
        </is>
      </c>
      <c r="B49" s="57" t="inlineStr">
        <is>
          <t>PO-BON-57150</t>
        </is>
      </c>
      <c r="C49" s="58" t="n">
        <v>45673</v>
      </c>
      <c r="D49" s="57" t="inlineStr">
        <is>
          <t>E001</t>
        </is>
      </c>
      <c r="E49" s="57">
        <f>IFERROR(INDEX(Entreprises!$B$2:$B$3000,MATCH(D49,Entreprises!$A$2:$A$3000,0)),"")</f>
        <v/>
      </c>
      <c r="F49" s="57" t="inlineStr">
        <is>
          <t>P003</t>
        </is>
      </c>
      <c r="G49" s="57">
        <f>IFERROR(INDEX(Produits!$C$2:$C$3000,MATCH(F49,Produits!$A$2:$A$3000,0)),"")</f>
        <v/>
      </c>
      <c r="H49" s="60" t="n">
        <v>218</v>
      </c>
      <c r="I49" s="59">
        <f>IFERROR(INDEX(Produits!$G$2:$G$3000,MATCH(F49,Produits!$A$2:$A$3000,0)),"")</f>
        <v/>
      </c>
      <c r="J49" s="62" t="n">
        <v>0.07000000000000001</v>
      </c>
      <c r="K49" s="59">
        <f>IF(OR(H49="",I49=""),"",ROUND(H49*I49*(1-J49),2))</f>
        <v/>
      </c>
      <c r="L49" s="58" t="n">
        <v>45687</v>
      </c>
      <c r="M49" s="58" t="n">
        <v>45691</v>
      </c>
      <c r="N49" s="60">
        <f>IF(M49="","",MAX(0,M49-L49))</f>
        <v/>
      </c>
      <c r="O49" s="57" t="inlineStr">
        <is>
          <t>Facturée</t>
        </is>
      </c>
      <c r="P49" s="57" t="inlineStr">
        <is>
          <t>U002</t>
        </is>
      </c>
    </row>
    <row r="50" ht="15" customHeight="1" s="34">
      <c r="A50" s="57" t="inlineStr">
        <is>
          <t>CMD-2025-0049</t>
        </is>
      </c>
      <c r="B50" s="57" t="inlineStr">
        <is>
          <t>PO-MAI-59490</t>
        </is>
      </c>
      <c r="C50" s="58" t="n">
        <v>45677</v>
      </c>
      <c r="D50" s="57" t="inlineStr">
        <is>
          <t>E018</t>
        </is>
      </c>
      <c r="E50" s="57">
        <f>IFERROR(INDEX(Entreprises!$B$2:$B$3000,MATCH(D50,Entreprises!$A$2:$A$3000,0)),"")</f>
        <v/>
      </c>
      <c r="F50" s="57" t="inlineStr">
        <is>
          <t>P006</t>
        </is>
      </c>
      <c r="G50" s="57">
        <f>IFERROR(INDEX(Produits!$C$2:$C$3000,MATCH(F50,Produits!$A$2:$A$3000,0)),"")</f>
        <v/>
      </c>
      <c r="H50" s="60" t="n">
        <v>5</v>
      </c>
      <c r="I50" s="59">
        <f>IFERROR(INDEX(Produits!$G$2:$G$3000,MATCH(F50,Produits!$A$2:$A$3000,0)),"")</f>
        <v/>
      </c>
      <c r="J50" s="62" t="n">
        <v>0.02</v>
      </c>
      <c r="K50" s="59">
        <f>IF(OR(H50="",I50=""),"",ROUND(H50*I50*(1-J50),2))</f>
        <v/>
      </c>
      <c r="L50" s="58" t="n">
        <v>45691</v>
      </c>
      <c r="M50" s="58" t="n">
        <v>45693</v>
      </c>
      <c r="N50" s="60">
        <f>IF(M50="","",MAX(0,M50-L50))</f>
        <v/>
      </c>
      <c r="O50" s="57" t="inlineStr">
        <is>
          <t>Facturée</t>
        </is>
      </c>
      <c r="P50" s="57" t="inlineStr">
        <is>
          <t>U005</t>
        </is>
      </c>
    </row>
    <row r="51" ht="15" customHeight="1" s="34">
      <c r="A51" s="57" t="inlineStr">
        <is>
          <t>CMD-2025-0050</t>
        </is>
      </c>
      <c r="B51" s="57" t="inlineStr">
        <is>
          <t>PO-PER-13198</t>
        </is>
      </c>
      <c r="C51" s="58" t="n">
        <v>45677</v>
      </c>
      <c r="D51" s="57" t="inlineStr">
        <is>
          <t>E025</t>
        </is>
      </c>
      <c r="E51" s="57">
        <f>IFERROR(INDEX(Entreprises!$B$2:$B$3000,MATCH(D51,Entreprises!$A$2:$A$3000,0)),"")</f>
        <v/>
      </c>
      <c r="F51" s="57" t="inlineStr">
        <is>
          <t>P005</t>
        </is>
      </c>
      <c r="G51" s="57">
        <f>IFERROR(INDEX(Produits!$C$2:$C$3000,MATCH(F51,Produits!$A$2:$A$3000,0)),"")</f>
        <v/>
      </c>
      <c r="H51" s="60" t="n">
        <v>74</v>
      </c>
      <c r="I51" s="59">
        <f>IFERROR(INDEX(Produits!$G$2:$G$3000,MATCH(F51,Produits!$A$2:$A$3000,0)),"")</f>
        <v/>
      </c>
      <c r="J51" s="62" t="n">
        <v>0.05</v>
      </c>
      <c r="K51" s="59">
        <f>IF(OR(H51="",I51=""),"",ROUND(H51*I51*(1-J51),2))</f>
        <v/>
      </c>
      <c r="L51" s="58" t="n">
        <v>45691</v>
      </c>
      <c r="M51" s="58" t="n">
        <v>45691</v>
      </c>
      <c r="N51" s="60">
        <f>IF(M51="","",MAX(0,M51-L51))</f>
        <v/>
      </c>
      <c r="O51" s="57" t="inlineStr">
        <is>
          <t>Facturée</t>
        </is>
      </c>
      <c r="P51" s="57" t="inlineStr">
        <is>
          <t>U007</t>
        </is>
      </c>
    </row>
    <row r="52" ht="15" customHeight="1" s="34">
      <c r="A52" s="57" t="inlineStr">
        <is>
          <t>CMD-2025-0051</t>
        </is>
      </c>
      <c r="B52" s="57" t="inlineStr">
        <is>
          <t>PO-GUE-80978</t>
        </is>
      </c>
      <c r="C52" s="58" t="n">
        <v>45684</v>
      </c>
      <c r="D52" s="57" t="inlineStr">
        <is>
          <t>E003</t>
        </is>
      </c>
      <c r="E52" s="57">
        <f>IFERROR(INDEX(Entreprises!$B$2:$B$3000,MATCH(D52,Entreprises!$A$2:$A$3000,0)),"")</f>
        <v/>
      </c>
      <c r="F52" s="57" t="inlineStr">
        <is>
          <t>P002</t>
        </is>
      </c>
      <c r="G52" s="57">
        <f>IFERROR(INDEX(Produits!$C$2:$C$3000,MATCH(F52,Produits!$A$2:$A$3000,0)),"")</f>
        <v/>
      </c>
      <c r="H52" s="60" t="n">
        <v>194</v>
      </c>
      <c r="I52" s="59">
        <f>IFERROR(INDEX(Produits!$G$2:$G$3000,MATCH(F52,Produits!$A$2:$A$3000,0)),"")</f>
        <v/>
      </c>
      <c r="J52" s="62" t="n">
        <v>0.04</v>
      </c>
      <c r="K52" s="59">
        <f>IF(OR(H52="",I52=""),"",ROUND(H52*I52*(1-J52),2))</f>
        <v/>
      </c>
      <c r="L52" s="58" t="n">
        <v>45698</v>
      </c>
      <c r="M52" s="58" t="n">
        <v>45698</v>
      </c>
      <c r="N52" s="60">
        <f>IF(M52="","",MAX(0,M52-L52))</f>
        <v/>
      </c>
      <c r="O52" s="57" t="inlineStr">
        <is>
          <t>Facturée</t>
        </is>
      </c>
      <c r="P52" s="57" t="inlineStr">
        <is>
          <t>U002</t>
        </is>
      </c>
    </row>
    <row r="53" ht="15" customHeight="1" s="34">
      <c r="A53" s="57" t="inlineStr">
        <is>
          <t>CMD-2025-0052</t>
        </is>
      </c>
      <c r="B53" s="57" t="inlineStr">
        <is>
          <t>PO-LAU-19816</t>
        </is>
      </c>
      <c r="C53" s="58" t="n">
        <v>45685</v>
      </c>
      <c r="D53" s="57" t="inlineStr">
        <is>
          <t>E009</t>
        </is>
      </c>
      <c r="E53" s="57">
        <f>IFERROR(INDEX(Entreprises!$B$2:$B$3000,MATCH(D53,Entreprises!$A$2:$A$3000,0)),"")</f>
        <v/>
      </c>
      <c r="F53" s="57" t="inlineStr">
        <is>
          <t>P007</t>
        </is>
      </c>
      <c r="G53" s="57">
        <f>IFERROR(INDEX(Produits!$C$2:$C$3000,MATCH(F53,Produits!$A$2:$A$3000,0)),"")</f>
        <v/>
      </c>
      <c r="H53" s="60" t="n">
        <v>29</v>
      </c>
      <c r="I53" s="59">
        <f>IFERROR(INDEX(Produits!$G$2:$G$3000,MATCH(F53,Produits!$A$2:$A$3000,0)),"")</f>
        <v/>
      </c>
      <c r="J53" s="62" t="n">
        <v>0.05</v>
      </c>
      <c r="K53" s="59">
        <f>IF(OR(H53="",I53=""),"",ROUND(H53*I53*(1-J53),2))</f>
        <v/>
      </c>
      <c r="L53" s="58" t="n">
        <v>45699</v>
      </c>
      <c r="M53" s="58" t="n">
        <v>45702</v>
      </c>
      <c r="N53" s="60">
        <f>IF(M53="","",MAX(0,M53-L53))</f>
        <v/>
      </c>
      <c r="O53" s="57" t="inlineStr">
        <is>
          <t>Facturée</t>
        </is>
      </c>
      <c r="P53" s="57" t="inlineStr">
        <is>
          <t>U003</t>
        </is>
      </c>
    </row>
    <row r="54" ht="15" customHeight="1" s="34">
      <c r="A54" s="57" t="inlineStr">
        <is>
          <t>CMD-2025-0053</t>
        </is>
      </c>
      <c r="B54" s="57" t="inlineStr">
        <is>
          <t>PO-MOE-29113</t>
        </is>
      </c>
      <c r="C54" s="58" t="n">
        <v>45692</v>
      </c>
      <c r="D54" s="57" t="inlineStr">
        <is>
          <t>E008</t>
        </is>
      </c>
      <c r="E54" s="57">
        <f>IFERROR(INDEX(Entreprises!$B$2:$B$3000,MATCH(D54,Entreprises!$A$2:$A$3000,0)),"")</f>
        <v/>
      </c>
      <c r="F54" s="57" t="inlineStr">
        <is>
          <t>P006</t>
        </is>
      </c>
      <c r="G54" s="57">
        <f>IFERROR(INDEX(Produits!$C$2:$C$3000,MATCH(F54,Produits!$A$2:$A$3000,0)),"")</f>
        <v/>
      </c>
      <c r="H54" s="60" t="n">
        <v>47</v>
      </c>
      <c r="I54" s="59">
        <f>IFERROR(INDEX(Produits!$G$2:$G$3000,MATCH(F54,Produits!$A$2:$A$3000,0)),"")</f>
        <v/>
      </c>
      <c r="J54" s="62" t="n">
        <v>0.06</v>
      </c>
      <c r="K54" s="59">
        <f>IF(OR(H54="",I54=""),"",ROUND(H54*I54*(1-J54),2))</f>
        <v/>
      </c>
      <c r="L54" s="58" t="n">
        <v>45706</v>
      </c>
      <c r="M54" s="58" t="n">
        <v>45705</v>
      </c>
      <c r="N54" s="60">
        <f>IF(M54="","",MAX(0,M54-L54))</f>
        <v/>
      </c>
      <c r="O54" s="57" t="inlineStr">
        <is>
          <t>Facturée</t>
        </is>
      </c>
      <c r="P54" s="57" t="inlineStr">
        <is>
          <t>U003</t>
        </is>
      </c>
    </row>
    <row r="55" ht="15" customHeight="1" s="34">
      <c r="A55" s="57" t="inlineStr">
        <is>
          <t>CMD-2025-0054</t>
        </is>
      </c>
      <c r="B55" s="57" t="inlineStr">
        <is>
          <t>PO-LES-65664</t>
        </is>
      </c>
      <c r="C55" s="58" t="n">
        <v>45698</v>
      </c>
      <c r="D55" s="57" t="inlineStr">
        <is>
          <t>E002</t>
        </is>
      </c>
      <c r="E55" s="57">
        <f>IFERROR(INDEX(Entreprises!$B$2:$B$3000,MATCH(D55,Entreprises!$A$2:$A$3000,0)),"")</f>
        <v/>
      </c>
      <c r="F55" s="57" t="inlineStr">
        <is>
          <t>P007</t>
        </is>
      </c>
      <c r="G55" s="57">
        <f>IFERROR(INDEX(Produits!$C$2:$C$3000,MATCH(F55,Produits!$A$2:$A$3000,0)),"")</f>
        <v/>
      </c>
      <c r="H55" s="60" t="n">
        <v>46</v>
      </c>
      <c r="I55" s="59">
        <f>IFERROR(INDEX(Produits!$G$2:$G$3000,MATCH(F55,Produits!$A$2:$A$3000,0)),"")</f>
        <v/>
      </c>
      <c r="J55" s="62" t="n">
        <v>0.05</v>
      </c>
      <c r="K55" s="59">
        <f>IF(OR(H55="",I55=""),"",ROUND(H55*I55*(1-J55),2))</f>
        <v/>
      </c>
      <c r="L55" s="58" t="n">
        <v>45712</v>
      </c>
      <c r="M55" s="58" t="n">
        <v>45712</v>
      </c>
      <c r="N55" s="60">
        <f>IF(M55="","",MAX(0,M55-L55))</f>
        <v/>
      </c>
      <c r="O55" s="57" t="inlineStr">
        <is>
          <t>Facturée</t>
        </is>
      </c>
      <c r="P55" s="57" t="inlineStr">
        <is>
          <t>U002</t>
        </is>
      </c>
    </row>
    <row r="56" ht="15" customHeight="1" s="34">
      <c r="A56" s="57" t="inlineStr">
        <is>
          <t>CMD-2025-0055</t>
        </is>
      </c>
      <c r="B56" s="57" t="inlineStr">
        <is>
          <t>PO-SEB-56245</t>
        </is>
      </c>
      <c r="C56" s="58" t="n">
        <v>45698</v>
      </c>
      <c r="D56" s="57" t="inlineStr">
        <is>
          <t>E014</t>
        </is>
      </c>
      <c r="E56" s="57">
        <f>IFERROR(INDEX(Entreprises!$B$2:$B$3000,MATCH(D56,Entreprises!$A$2:$A$3000,0)),"")</f>
        <v/>
      </c>
      <c r="F56" s="57" t="inlineStr">
        <is>
          <t>P007</t>
        </is>
      </c>
      <c r="G56" s="57">
        <f>IFERROR(INDEX(Produits!$C$2:$C$3000,MATCH(F56,Produits!$A$2:$A$3000,0)),"")</f>
        <v/>
      </c>
      <c r="H56" s="60" t="n">
        <v>94</v>
      </c>
      <c r="I56" s="59">
        <f>IFERROR(INDEX(Produits!$G$2:$G$3000,MATCH(F56,Produits!$A$2:$A$3000,0)),"")</f>
        <v/>
      </c>
      <c r="J56" s="62" t="n">
        <v>0.06</v>
      </c>
      <c r="K56" s="59">
        <f>IF(OR(H56="",I56=""),"",ROUND(H56*I56*(1-J56),2))</f>
        <v/>
      </c>
      <c r="L56" s="58" t="n">
        <v>45712</v>
      </c>
      <c r="M56" s="58" t="n">
        <v>45714</v>
      </c>
      <c r="N56" s="60">
        <f>IF(M56="","",MAX(0,M56-L56))</f>
        <v/>
      </c>
      <c r="O56" s="57" t="inlineStr">
        <is>
          <t>Facturée</t>
        </is>
      </c>
      <c r="P56" s="57" t="inlineStr">
        <is>
          <t>U004</t>
        </is>
      </c>
    </row>
    <row r="57" ht="15" customHeight="1" s="34">
      <c r="A57" s="57" t="inlineStr">
        <is>
          <t>CMD-2025-0056</t>
        </is>
      </c>
      <c r="B57" s="57" t="inlineStr">
        <is>
          <t>PO-REM-24554</t>
        </is>
      </c>
      <c r="C57" s="58" t="n">
        <v>45698</v>
      </c>
      <c r="D57" s="57" t="inlineStr">
        <is>
          <t>E017</t>
        </is>
      </c>
      <c r="E57" s="57">
        <f>IFERROR(INDEX(Entreprises!$B$2:$B$3000,MATCH(D57,Entreprises!$A$2:$A$3000,0)),"")</f>
        <v/>
      </c>
      <c r="F57" s="57" t="inlineStr">
        <is>
          <t>P005</t>
        </is>
      </c>
      <c r="G57" s="57">
        <f>IFERROR(INDEX(Produits!$C$2:$C$3000,MATCH(F57,Produits!$A$2:$A$3000,0)),"")</f>
        <v/>
      </c>
      <c r="H57" s="60" t="n">
        <v>21</v>
      </c>
      <c r="I57" s="59">
        <f>IFERROR(INDEX(Produits!$G$2:$G$3000,MATCH(F57,Produits!$A$2:$A$3000,0)),"")</f>
        <v/>
      </c>
      <c r="J57" s="62" t="n">
        <v>0.05</v>
      </c>
      <c r="K57" s="59">
        <f>IF(OR(H57="",I57=""),"",ROUND(H57*I57*(1-J57),2))</f>
        <v/>
      </c>
      <c r="L57" s="58" t="n">
        <v>45712</v>
      </c>
      <c r="M57" s="58" t="n">
        <v>45712</v>
      </c>
      <c r="N57" s="60">
        <f>IF(M57="","",MAX(0,M57-L57))</f>
        <v/>
      </c>
      <c r="O57" s="57" t="inlineStr">
        <is>
          <t>Facturée</t>
        </is>
      </c>
      <c r="P57" s="57" t="inlineStr">
        <is>
          <t>U005</t>
        </is>
      </c>
    </row>
    <row r="58" ht="15" customHeight="1" s="34">
      <c r="A58" s="57" t="inlineStr">
        <is>
          <t>CMD-2025-0057</t>
        </is>
      </c>
      <c r="B58" s="57" t="inlineStr">
        <is>
          <t>PO-LEG-64567</t>
        </is>
      </c>
      <c r="C58" s="58" t="n">
        <v>45698</v>
      </c>
      <c r="D58" s="57" t="inlineStr">
        <is>
          <t>E021</t>
        </is>
      </c>
      <c r="E58" s="57">
        <f>IFERROR(INDEX(Entreprises!$B$2:$B$3000,MATCH(D58,Entreprises!$A$2:$A$3000,0)),"")</f>
        <v/>
      </c>
      <c r="F58" s="57" t="inlineStr">
        <is>
          <t>P007</t>
        </is>
      </c>
      <c r="G58" s="57">
        <f>IFERROR(INDEX(Produits!$C$2:$C$3000,MATCH(F58,Produits!$A$2:$A$3000,0)),"")</f>
        <v/>
      </c>
      <c r="H58" s="60" t="n">
        <v>37</v>
      </c>
      <c r="I58" s="59">
        <f>IFERROR(INDEX(Produits!$G$2:$G$3000,MATCH(F58,Produits!$A$2:$A$3000,0)),"")</f>
        <v/>
      </c>
      <c r="J58" s="62" t="n">
        <v>0.07000000000000001</v>
      </c>
      <c r="K58" s="59">
        <f>IF(OR(H58="",I58=""),"",ROUND(H58*I58*(1-J58),2))</f>
        <v/>
      </c>
      <c r="L58" s="58" t="n">
        <v>45712</v>
      </c>
      <c r="M58" s="58" t="n">
        <v>45715</v>
      </c>
      <c r="N58" s="60">
        <f>IF(M58="","",MAX(0,M58-L58))</f>
        <v/>
      </c>
      <c r="O58" s="57" t="inlineStr">
        <is>
          <t>Facturée</t>
        </is>
      </c>
      <c r="P58" s="57" t="inlineStr">
        <is>
          <t>U005</t>
        </is>
      </c>
    </row>
    <row r="59" ht="15" customHeight="1" s="34">
      <c r="A59" s="57" t="inlineStr">
        <is>
          <t>CMD-2025-0058</t>
        </is>
      </c>
      <c r="B59" s="57" t="inlineStr">
        <is>
          <t>PO-BOI-57043</t>
        </is>
      </c>
      <c r="C59" s="58" t="n">
        <v>45702</v>
      </c>
      <c r="D59" s="57" t="inlineStr">
        <is>
          <t>E013</t>
        </is>
      </c>
      <c r="E59" s="57">
        <f>IFERROR(INDEX(Entreprises!$B$2:$B$3000,MATCH(D59,Entreprises!$A$2:$A$3000,0)),"")</f>
        <v/>
      </c>
      <c r="F59" s="57" t="inlineStr">
        <is>
          <t>P001</t>
        </is>
      </c>
      <c r="G59" s="57">
        <f>IFERROR(INDEX(Produits!$C$2:$C$3000,MATCH(F59,Produits!$A$2:$A$3000,0)),"")</f>
        <v/>
      </c>
      <c r="H59" s="60" t="n">
        <v>57</v>
      </c>
      <c r="I59" s="59">
        <f>IFERROR(INDEX(Produits!$G$2:$G$3000,MATCH(F59,Produits!$A$2:$A$3000,0)),"")</f>
        <v/>
      </c>
      <c r="J59" s="62" t="n">
        <v>0.04</v>
      </c>
      <c r="K59" s="59">
        <f>IF(OR(H59="",I59=""),"",ROUND(H59*I59*(1-J59),2))</f>
        <v/>
      </c>
      <c r="L59" s="58" t="n">
        <v>45716</v>
      </c>
      <c r="M59" s="58" t="n">
        <v>45716</v>
      </c>
      <c r="N59" s="60">
        <f>IF(M59="","",MAX(0,M59-L59))</f>
        <v/>
      </c>
      <c r="O59" s="57" t="inlineStr">
        <is>
          <t>Facturée</t>
        </is>
      </c>
      <c r="P59" s="57" t="inlineStr">
        <is>
          <t>U004</t>
        </is>
      </c>
    </row>
    <row r="60" ht="15" customHeight="1" s="34">
      <c r="A60" s="57" t="inlineStr">
        <is>
          <t>CMD-2025-0059</t>
        </is>
      </c>
      <c r="B60" s="57" t="inlineStr">
        <is>
          <t>PO-BIO-87891</t>
        </is>
      </c>
      <c r="C60" s="58" t="n">
        <v>45705</v>
      </c>
      <c r="D60" s="57" t="inlineStr">
        <is>
          <t>E012</t>
        </is>
      </c>
      <c r="E60" s="57">
        <f>IFERROR(INDEX(Entreprises!$B$2:$B$3000,MATCH(D60,Entreprises!$A$2:$A$3000,0)),"")</f>
        <v/>
      </c>
      <c r="F60" s="57" t="inlineStr">
        <is>
          <t>P004</t>
        </is>
      </c>
      <c r="G60" s="57">
        <f>IFERROR(INDEX(Produits!$C$2:$C$3000,MATCH(F60,Produits!$A$2:$A$3000,0)),"")</f>
        <v/>
      </c>
      <c r="H60" s="60" t="n">
        <v>112</v>
      </c>
      <c r="I60" s="59">
        <f>IFERROR(INDEX(Produits!$G$2:$G$3000,MATCH(F60,Produits!$A$2:$A$3000,0)),"")</f>
        <v/>
      </c>
      <c r="J60" s="62" t="n">
        <v>0.07000000000000001</v>
      </c>
      <c r="K60" s="59">
        <f>IF(OR(H60="",I60=""),"",ROUND(H60*I60*(1-J60),2))</f>
        <v/>
      </c>
      <c r="L60" s="58" t="n">
        <v>45719</v>
      </c>
      <c r="M60" s="58" t="n">
        <v>45719</v>
      </c>
      <c r="N60" s="60">
        <f>IF(M60="","",MAX(0,M60-L60))</f>
        <v/>
      </c>
      <c r="O60" s="57" t="inlineStr">
        <is>
          <t>Facturée</t>
        </is>
      </c>
      <c r="P60" s="57" t="inlineStr">
        <is>
          <t>U004</t>
        </is>
      </c>
    </row>
    <row r="61" ht="15" customHeight="1" s="34">
      <c r="A61" s="57" t="inlineStr">
        <is>
          <t>CMD-2025-0060</t>
        </is>
      </c>
      <c r="B61" s="57" t="inlineStr">
        <is>
          <t>PO-IPS-49260</t>
        </is>
      </c>
      <c r="C61" s="58" t="n">
        <v>45705</v>
      </c>
      <c r="D61" s="57" t="inlineStr">
        <is>
          <t>E023</t>
        </is>
      </c>
      <c r="E61" s="57">
        <f>IFERROR(INDEX(Entreprises!$B$2:$B$3000,MATCH(D61,Entreprises!$A$2:$A$3000,0)),"")</f>
        <v/>
      </c>
      <c r="F61" s="57" t="inlineStr">
        <is>
          <t>P004</t>
        </is>
      </c>
      <c r="G61" s="57">
        <f>IFERROR(INDEX(Produits!$C$2:$C$3000,MATCH(F61,Produits!$A$2:$A$3000,0)),"")</f>
        <v/>
      </c>
      <c r="H61" s="60" t="n">
        <v>99</v>
      </c>
      <c r="I61" s="59">
        <f>IFERROR(INDEX(Produits!$G$2:$G$3000,MATCH(F61,Produits!$A$2:$A$3000,0)),"")</f>
        <v/>
      </c>
      <c r="J61" s="62" t="n">
        <v>0.08</v>
      </c>
      <c r="K61" s="59">
        <f>IF(OR(H61="",I61=""),"",ROUND(H61*I61*(1-J61),2))</f>
        <v/>
      </c>
      <c r="L61" s="58" t="n">
        <v>45719</v>
      </c>
      <c r="M61" s="58" t="n">
        <v>45720</v>
      </c>
      <c r="N61" s="60">
        <f>IF(M61="","",MAX(0,M61-L61))</f>
        <v/>
      </c>
      <c r="O61" s="57" t="inlineStr">
        <is>
          <t>Facturée</t>
        </is>
      </c>
      <c r="P61" s="57" t="inlineStr">
        <is>
          <t>U006</t>
        </is>
      </c>
    </row>
    <row r="62" ht="15" customHeight="1" s="34">
      <c r="A62" s="57" t="inlineStr">
        <is>
          <t>CMD-2025-0061</t>
        </is>
      </c>
      <c r="B62" s="57" t="inlineStr">
        <is>
          <t>PO-SAV-82166</t>
        </is>
      </c>
      <c r="C62" s="58" t="n">
        <v>45705</v>
      </c>
      <c r="D62" s="57" t="inlineStr">
        <is>
          <t>E028</t>
        </is>
      </c>
      <c r="E62" s="57">
        <f>IFERROR(INDEX(Entreprises!$B$2:$B$3000,MATCH(D62,Entreprises!$A$2:$A$3000,0)),"")</f>
        <v/>
      </c>
      <c r="F62" s="57" t="inlineStr">
        <is>
          <t>P007</t>
        </is>
      </c>
      <c r="G62" s="57">
        <f>IFERROR(INDEX(Produits!$C$2:$C$3000,MATCH(F62,Produits!$A$2:$A$3000,0)),"")</f>
        <v/>
      </c>
      <c r="H62" s="60" t="n">
        <v>40</v>
      </c>
      <c r="I62" s="59">
        <f>IFERROR(INDEX(Produits!$G$2:$G$3000,MATCH(F62,Produits!$A$2:$A$3000,0)),"")</f>
        <v/>
      </c>
      <c r="J62" s="62" t="n">
        <v>0.05</v>
      </c>
      <c r="K62" s="59">
        <f>IF(OR(H62="",I62=""),"",ROUND(H62*I62*(1-J62),2))</f>
        <v/>
      </c>
      <c r="L62" s="58" t="n">
        <v>45719</v>
      </c>
      <c r="M62" s="58" t="n">
        <v>45719</v>
      </c>
      <c r="N62" s="60">
        <f>IF(M62="","",MAX(0,M62-L62))</f>
        <v/>
      </c>
      <c r="O62" s="57" t="inlineStr">
        <is>
          <t>Facturée</t>
        </is>
      </c>
      <c r="P62" s="57" t="inlineStr">
        <is>
          <t>U007</t>
        </is>
      </c>
    </row>
    <row r="63" ht="15" customHeight="1" s="34">
      <c r="A63" s="57" t="inlineStr">
        <is>
          <t>CMD-2025-0062</t>
        </is>
      </c>
      <c r="B63" s="57" t="inlineStr">
        <is>
          <t>PO-PIE-76287</t>
        </is>
      </c>
      <c r="C63" s="58" t="n">
        <v>45706</v>
      </c>
      <c r="D63" s="57" t="inlineStr">
        <is>
          <t>E019</t>
        </is>
      </c>
      <c r="E63" s="57">
        <f>IFERROR(INDEX(Entreprises!$B$2:$B$3000,MATCH(D63,Entreprises!$A$2:$A$3000,0)),"")</f>
        <v/>
      </c>
      <c r="F63" s="57" t="inlineStr">
        <is>
          <t>P001</t>
        </is>
      </c>
      <c r="G63" s="57">
        <f>IFERROR(INDEX(Produits!$C$2:$C$3000,MATCH(F63,Produits!$A$2:$A$3000,0)),"")</f>
        <v/>
      </c>
      <c r="H63" s="60" t="n">
        <v>206</v>
      </c>
      <c r="I63" s="59">
        <f>IFERROR(INDEX(Produits!$G$2:$G$3000,MATCH(F63,Produits!$A$2:$A$3000,0)),"")</f>
        <v/>
      </c>
      <c r="J63" s="62" t="n">
        <v>0.06</v>
      </c>
      <c r="K63" s="59">
        <f>IF(OR(H63="",I63=""),"",ROUND(H63*I63*(1-J63),2))</f>
        <v/>
      </c>
      <c r="L63" s="58" t="n">
        <v>45720</v>
      </c>
      <c r="M63" s="58" t="n">
        <v>45722</v>
      </c>
      <c r="N63" s="60">
        <f>IF(M63="","",MAX(0,M63-L63))</f>
        <v/>
      </c>
      <c r="O63" s="57" t="inlineStr">
        <is>
          <t>Facturée</t>
        </is>
      </c>
      <c r="P63" s="57" t="inlineStr">
        <is>
          <t>U005</t>
        </is>
      </c>
    </row>
    <row r="64" ht="15" customHeight="1" s="34">
      <c r="A64" s="57" t="inlineStr">
        <is>
          <t>CMD-2025-0063</t>
        </is>
      </c>
      <c r="B64" s="57" t="inlineStr">
        <is>
          <t>PO-SAN-89125</t>
        </is>
      </c>
      <c r="C64" s="58" t="n">
        <v>45706</v>
      </c>
      <c r="D64" s="57" t="inlineStr">
        <is>
          <t>E022</t>
        </is>
      </c>
      <c r="E64" s="57">
        <f>IFERROR(INDEX(Entreprises!$B$2:$B$3000,MATCH(D64,Entreprises!$A$2:$A$3000,0)),"")</f>
        <v/>
      </c>
      <c r="F64" s="57" t="inlineStr">
        <is>
          <t>P004</t>
        </is>
      </c>
      <c r="G64" s="57">
        <f>IFERROR(INDEX(Produits!$C$2:$C$3000,MATCH(F64,Produits!$A$2:$A$3000,0)),"")</f>
        <v/>
      </c>
      <c r="H64" s="60" t="n">
        <v>302</v>
      </c>
      <c r="I64" s="59">
        <f>IFERROR(INDEX(Produits!$G$2:$G$3000,MATCH(F64,Produits!$A$2:$A$3000,0)),"")</f>
        <v/>
      </c>
      <c r="J64" s="62" t="n">
        <v>0.07000000000000001</v>
      </c>
      <c r="K64" s="59">
        <f>IF(OR(H64="",I64=""),"",ROUND(H64*I64*(1-J64),2))</f>
        <v/>
      </c>
      <c r="L64" s="58" t="n">
        <v>45720</v>
      </c>
      <c r="M64" s="58" t="n">
        <v>45723</v>
      </c>
      <c r="N64" s="60">
        <f>IF(M64="","",MAX(0,M64-L64))</f>
        <v/>
      </c>
      <c r="O64" s="57" t="inlineStr">
        <is>
          <t>Facturée</t>
        </is>
      </c>
      <c r="P64" s="57" t="inlineStr">
        <is>
          <t>U006</t>
        </is>
      </c>
    </row>
    <row r="65" ht="15" customHeight="1" s="34">
      <c r="A65" s="57" t="inlineStr">
        <is>
          <t>CMD-2025-0064</t>
        </is>
      </c>
      <c r="B65" s="57" t="inlineStr">
        <is>
          <t>PO-DAN-17094</t>
        </is>
      </c>
      <c r="C65" s="58" t="n">
        <v>45712</v>
      </c>
      <c r="D65" s="57" t="inlineStr">
        <is>
          <t>E026</t>
        </is>
      </c>
      <c r="E65" s="57">
        <f>IFERROR(INDEX(Entreprises!$B$2:$B$3000,MATCH(D65,Entreprises!$A$2:$A$3000,0)),"")</f>
        <v/>
      </c>
      <c r="F65" s="57" t="inlineStr">
        <is>
          <t>P007</t>
        </is>
      </c>
      <c r="G65" s="57">
        <f>IFERROR(INDEX(Produits!$C$2:$C$3000,MATCH(F65,Produits!$A$2:$A$3000,0)),"")</f>
        <v/>
      </c>
      <c r="H65" s="60" t="n">
        <v>144</v>
      </c>
      <c r="I65" s="59">
        <f>IFERROR(INDEX(Produits!$G$2:$G$3000,MATCH(F65,Produits!$A$2:$A$3000,0)),"")</f>
        <v/>
      </c>
      <c r="J65" s="62" t="n">
        <v>0.06</v>
      </c>
      <c r="K65" s="59">
        <f>IF(OR(H65="",I65=""),"",ROUND(H65*I65*(1-J65),2))</f>
        <v/>
      </c>
      <c r="L65" s="58" t="n">
        <v>45726</v>
      </c>
      <c r="M65" s="58" t="n">
        <v>45726</v>
      </c>
      <c r="N65" s="60">
        <f>IF(M65="","",MAX(0,M65-L65))</f>
        <v/>
      </c>
      <c r="O65" s="57" t="inlineStr">
        <is>
          <t>Facturée</t>
        </is>
      </c>
      <c r="P65" s="57" t="inlineStr">
        <is>
          <t>U007</t>
        </is>
      </c>
    </row>
    <row r="66" ht="15" customHeight="1" s="34">
      <c r="A66" s="57" t="inlineStr">
        <is>
          <t>CMD-2025-0065</t>
        </is>
      </c>
      <c r="B66" s="57" t="inlineStr">
        <is>
          <t>PO-SCH-22023</t>
        </is>
      </c>
      <c r="C66" s="58" t="n">
        <v>45713</v>
      </c>
      <c r="D66" s="57" t="inlineStr">
        <is>
          <t>E030</t>
        </is>
      </c>
      <c r="E66" s="57">
        <f>IFERROR(INDEX(Entreprises!$B$2:$B$3000,MATCH(D66,Entreprises!$A$2:$A$3000,0)),"")</f>
        <v/>
      </c>
      <c r="F66" s="57" t="inlineStr">
        <is>
          <t>P007</t>
        </is>
      </c>
      <c r="G66" s="57">
        <f>IFERROR(INDEX(Produits!$C$2:$C$3000,MATCH(F66,Produits!$A$2:$A$3000,0)),"")</f>
        <v/>
      </c>
      <c r="H66" s="60" t="n">
        <v>71</v>
      </c>
      <c r="I66" s="59">
        <f>IFERROR(INDEX(Produits!$G$2:$G$3000,MATCH(F66,Produits!$A$2:$A$3000,0)),"")</f>
        <v/>
      </c>
      <c r="J66" s="62" t="n">
        <v>0.06</v>
      </c>
      <c r="K66" s="59">
        <f>IF(OR(H66="",I66=""),"",ROUND(H66*I66*(1-J66),2))</f>
        <v/>
      </c>
      <c r="L66" s="58" t="n">
        <v>45727</v>
      </c>
      <c r="M66" s="58" t="n">
        <v>45727</v>
      </c>
      <c r="N66" s="60">
        <f>IF(M66="","",MAX(0,M66-L66))</f>
        <v/>
      </c>
      <c r="O66" s="57" t="inlineStr">
        <is>
          <t>Facturée</t>
        </is>
      </c>
      <c r="P66" s="57" t="inlineStr">
        <is>
          <t>U007</t>
        </is>
      </c>
    </row>
    <row r="67" ht="15" customHeight="1" s="34">
      <c r="A67" s="57" t="inlineStr">
        <is>
          <t>CMD-2025-0066</t>
        </is>
      </c>
      <c r="B67" s="57" t="inlineStr">
        <is>
          <t>PO-INT-98255</t>
        </is>
      </c>
      <c r="C67" s="58" t="n">
        <v>45715</v>
      </c>
      <c r="D67" s="57" t="inlineStr">
        <is>
          <t>E004</t>
        </is>
      </c>
      <c r="E67" s="57">
        <f>IFERROR(INDEX(Entreprises!$B$2:$B$3000,MATCH(D67,Entreprises!$A$2:$A$3000,0)),"")</f>
        <v/>
      </c>
      <c r="F67" s="57" t="inlineStr">
        <is>
          <t>P008</t>
        </is>
      </c>
      <c r="G67" s="57">
        <f>IFERROR(INDEX(Produits!$C$2:$C$3000,MATCH(F67,Produits!$A$2:$A$3000,0)),"")</f>
        <v/>
      </c>
      <c r="H67" s="60" t="n">
        <v>52</v>
      </c>
      <c r="I67" s="59">
        <f>IFERROR(INDEX(Produits!$G$2:$G$3000,MATCH(F67,Produits!$A$2:$A$3000,0)),"")</f>
        <v/>
      </c>
      <c r="J67" s="62" t="n">
        <v>0.05</v>
      </c>
      <c r="K67" s="59">
        <f>IF(OR(H67="",I67=""),"",ROUND(H67*I67*(1-J67),2))</f>
        <v/>
      </c>
      <c r="L67" s="58" t="n">
        <v>45729</v>
      </c>
      <c r="M67" s="58" t="n">
        <v>45730</v>
      </c>
      <c r="N67" s="60">
        <f>IF(M67="","",MAX(0,M67-L67))</f>
        <v/>
      </c>
      <c r="O67" s="57" t="inlineStr">
        <is>
          <t>Facturée</t>
        </is>
      </c>
      <c r="P67" s="57" t="inlineStr">
        <is>
          <t>U002</t>
        </is>
      </c>
    </row>
    <row r="68" ht="15" customHeight="1" s="34">
      <c r="A68" s="57" t="inlineStr">
        <is>
          <t>CMD-2025-0067</t>
        </is>
      </c>
      <c r="B68" s="57" t="inlineStr">
        <is>
          <t>PO-LOR-59364</t>
        </is>
      </c>
      <c r="C68" s="58" t="n">
        <v>45715</v>
      </c>
      <c r="D68" s="57" t="inlineStr">
        <is>
          <t>E027</t>
        </is>
      </c>
      <c r="E68" s="57">
        <f>IFERROR(INDEX(Entreprises!$B$2:$B$3000,MATCH(D68,Entreprises!$A$2:$A$3000,0)),"")</f>
        <v/>
      </c>
      <c r="F68" s="57" t="inlineStr">
        <is>
          <t>P008</t>
        </is>
      </c>
      <c r="G68" s="57">
        <f>IFERROR(INDEX(Produits!$C$2:$C$3000,MATCH(F68,Produits!$A$2:$A$3000,0)),"")</f>
        <v/>
      </c>
      <c r="H68" s="60" t="n">
        <v>174</v>
      </c>
      <c r="I68" s="59">
        <f>IFERROR(INDEX(Produits!$G$2:$G$3000,MATCH(F68,Produits!$A$2:$A$3000,0)),"")</f>
        <v/>
      </c>
      <c r="J68" s="62" t="n">
        <v>0.08</v>
      </c>
      <c r="K68" s="59">
        <f>IF(OR(H68="",I68=""),"",ROUND(H68*I68*(1-J68),2))</f>
        <v/>
      </c>
      <c r="L68" s="58" t="n">
        <v>45729</v>
      </c>
      <c r="M68" s="58" t="n">
        <v>45729</v>
      </c>
      <c r="N68" s="60">
        <f>IF(M68="","",MAX(0,M68-L68))</f>
        <v/>
      </c>
      <c r="O68" s="57" t="inlineStr">
        <is>
          <t>Facturée</t>
        </is>
      </c>
      <c r="P68" s="57" t="inlineStr">
        <is>
          <t>U007</t>
        </is>
      </c>
    </row>
    <row r="69" ht="15" customHeight="1" s="34">
      <c r="A69" s="57" t="inlineStr">
        <is>
          <t>CMD-2025-0068</t>
        </is>
      </c>
      <c r="B69" s="57" t="inlineStr">
        <is>
          <t>PO-NEX-68390</t>
        </is>
      </c>
      <c r="C69" s="58" t="n">
        <v>45716</v>
      </c>
      <c r="D69" s="57" t="inlineStr">
        <is>
          <t>E007</t>
        </is>
      </c>
      <c r="E69" s="57">
        <f>IFERROR(INDEX(Entreprises!$B$2:$B$3000,MATCH(D69,Entreprises!$A$2:$A$3000,0)),"")</f>
        <v/>
      </c>
      <c r="F69" s="57" t="inlineStr">
        <is>
          <t>P003</t>
        </is>
      </c>
      <c r="G69" s="57">
        <f>IFERROR(INDEX(Produits!$C$2:$C$3000,MATCH(F69,Produits!$A$2:$A$3000,0)),"")</f>
        <v/>
      </c>
      <c r="H69" s="60" t="n">
        <v>81</v>
      </c>
      <c r="I69" s="59">
        <f>IFERROR(INDEX(Produits!$G$2:$G$3000,MATCH(F69,Produits!$A$2:$A$3000,0)),"")</f>
        <v/>
      </c>
      <c r="J69" s="62" t="n">
        <v>0.07000000000000001</v>
      </c>
      <c r="K69" s="59">
        <f>IF(OR(H69="",I69=""),"",ROUND(H69*I69*(1-J69),2))</f>
        <v/>
      </c>
      <c r="L69" s="58" t="n">
        <v>45730</v>
      </c>
      <c r="M69" s="58" t="n">
        <v>45730</v>
      </c>
      <c r="N69" s="60">
        <f>IF(M69="","",MAX(0,M69-L69))</f>
        <v/>
      </c>
      <c r="O69" s="57" t="inlineStr">
        <is>
          <t>Facturée</t>
        </is>
      </c>
      <c r="P69" s="57" t="inlineStr">
        <is>
          <t>U002</t>
        </is>
      </c>
    </row>
    <row r="70" ht="15" customHeight="1" s="34">
      <c r="A70" s="57" t="inlineStr">
        <is>
          <t>CMD-2025-0069</t>
        </is>
      </c>
      <c r="B70" s="57" t="inlineStr">
        <is>
          <t>PO-MAI-54788</t>
        </is>
      </c>
      <c r="C70" s="58" t="n">
        <v>45719</v>
      </c>
      <c r="D70" s="57" t="inlineStr">
        <is>
          <t>E018</t>
        </is>
      </c>
      <c r="E70" s="57">
        <f>IFERROR(INDEX(Entreprises!$B$2:$B$3000,MATCH(D70,Entreprises!$A$2:$A$3000,0)),"")</f>
        <v/>
      </c>
      <c r="F70" s="57" t="inlineStr">
        <is>
          <t>P006</t>
        </is>
      </c>
      <c r="G70" s="57">
        <f>IFERROR(INDEX(Produits!$C$2:$C$3000,MATCH(F70,Produits!$A$2:$A$3000,0)),"")</f>
        <v/>
      </c>
      <c r="H70" s="60" t="n">
        <v>8</v>
      </c>
      <c r="I70" s="59">
        <f>IFERROR(INDEX(Produits!$G$2:$G$3000,MATCH(F70,Produits!$A$2:$A$3000,0)),"")</f>
        <v/>
      </c>
      <c r="J70" s="62" t="n">
        <v>0</v>
      </c>
      <c r="K70" s="59">
        <f>IF(OR(H70="",I70=""),"",ROUND(H70*I70*(1-J70),2))</f>
        <v/>
      </c>
      <c r="L70" s="58" t="n">
        <v>45733</v>
      </c>
      <c r="M70" s="58" t="n">
        <v>45733</v>
      </c>
      <c r="N70" s="60">
        <f>IF(M70="","",MAX(0,M70-L70))</f>
        <v/>
      </c>
      <c r="O70" s="57" t="inlineStr">
        <is>
          <t>Facturée</t>
        </is>
      </c>
      <c r="P70" s="57" t="inlineStr">
        <is>
          <t>U005</t>
        </is>
      </c>
    </row>
    <row r="71" ht="15" customHeight="1" s="34">
      <c r="A71" s="57" t="inlineStr">
        <is>
          <t>CMD-2025-0070</t>
        </is>
      </c>
      <c r="B71" s="57" t="inlineStr">
        <is>
          <t>PO-GUE-88721</t>
        </is>
      </c>
      <c r="C71" s="58" t="n">
        <v>45733</v>
      </c>
      <c r="D71" s="57" t="inlineStr">
        <is>
          <t>E003</t>
        </is>
      </c>
      <c r="E71" s="57">
        <f>IFERROR(INDEX(Entreprises!$B$2:$B$3000,MATCH(D71,Entreprises!$A$2:$A$3000,0)),"")</f>
        <v/>
      </c>
      <c r="F71" s="57" t="inlineStr">
        <is>
          <t>P001</t>
        </is>
      </c>
      <c r="G71" s="57">
        <f>IFERROR(INDEX(Produits!$C$2:$C$3000,MATCH(F71,Produits!$A$2:$A$3000,0)),"")</f>
        <v/>
      </c>
      <c r="H71" s="60" t="n">
        <v>93</v>
      </c>
      <c r="I71" s="59">
        <f>IFERROR(INDEX(Produits!$G$2:$G$3000,MATCH(F71,Produits!$A$2:$A$3000,0)),"")</f>
        <v/>
      </c>
      <c r="J71" s="62" t="n">
        <v>0.04</v>
      </c>
      <c r="K71" s="59">
        <f>IF(OR(H71="",I71=""),"",ROUND(H71*I71*(1-J71),2))</f>
        <v/>
      </c>
      <c r="L71" s="58" t="n">
        <v>45747</v>
      </c>
      <c r="M71" s="58" t="n">
        <v>45747</v>
      </c>
      <c r="N71" s="60">
        <f>IF(M71="","",MAX(0,M71-L71))</f>
        <v/>
      </c>
      <c r="O71" s="57" t="inlineStr">
        <is>
          <t>Facturée</t>
        </is>
      </c>
      <c r="P71" s="57" t="inlineStr">
        <is>
          <t>U002</t>
        </is>
      </c>
    </row>
    <row r="72" ht="15" customHeight="1" s="34">
      <c r="A72" s="57" t="inlineStr">
        <is>
          <t>CMD-2025-0071</t>
        </is>
      </c>
      <c r="B72" s="57" t="inlineStr">
        <is>
          <t>PO-KRO-36734</t>
        </is>
      </c>
      <c r="C72" s="58" t="n">
        <v>45733</v>
      </c>
      <c r="D72" s="57" t="inlineStr">
        <is>
          <t>E011</t>
        </is>
      </c>
      <c r="E72" s="57">
        <f>IFERROR(INDEX(Entreprises!$B$2:$B$3000,MATCH(D72,Entreprises!$A$2:$A$3000,0)),"")</f>
        <v/>
      </c>
      <c r="F72" s="57" t="inlineStr">
        <is>
          <t>P007</t>
        </is>
      </c>
      <c r="G72" s="57">
        <f>IFERROR(INDEX(Produits!$C$2:$C$3000,MATCH(F72,Produits!$A$2:$A$3000,0)),"")</f>
        <v/>
      </c>
      <c r="H72" s="60" t="n">
        <v>41</v>
      </c>
      <c r="I72" s="59">
        <f>IFERROR(INDEX(Produits!$G$2:$G$3000,MATCH(F72,Produits!$A$2:$A$3000,0)),"")</f>
        <v/>
      </c>
      <c r="J72" s="62" t="n">
        <v>0.06</v>
      </c>
      <c r="K72" s="59">
        <f>IF(OR(H72="",I72=""),"",ROUND(H72*I72*(1-J72),2))</f>
        <v/>
      </c>
      <c r="L72" s="58" t="n">
        <v>45747</v>
      </c>
      <c r="M72" s="58" t="n">
        <v>45749</v>
      </c>
      <c r="N72" s="60">
        <f>IF(M72="","",MAX(0,M72-L72))</f>
        <v/>
      </c>
      <c r="O72" s="57" t="inlineStr">
        <is>
          <t>Facturée</t>
        </is>
      </c>
      <c r="P72" s="57" t="inlineStr">
        <is>
          <t>U003</t>
        </is>
      </c>
    </row>
    <row r="73" ht="15" customHeight="1" s="34">
      <c r="A73" s="57" t="inlineStr">
        <is>
          <t>CMD-2025-0072</t>
        </is>
      </c>
      <c r="B73" s="57" t="inlineStr">
        <is>
          <t>PO-LEG-12917</t>
        </is>
      </c>
      <c r="C73" s="58" t="n">
        <v>45740</v>
      </c>
      <c r="D73" s="57" t="inlineStr">
        <is>
          <t>E021</t>
        </is>
      </c>
      <c r="E73" s="57">
        <f>IFERROR(INDEX(Entreprises!$B$2:$B$3000,MATCH(D73,Entreprises!$A$2:$A$3000,0)),"")</f>
        <v/>
      </c>
      <c r="F73" s="57" t="inlineStr">
        <is>
          <t>P008</t>
        </is>
      </c>
      <c r="G73" s="57">
        <f>IFERROR(INDEX(Produits!$C$2:$C$3000,MATCH(F73,Produits!$A$2:$A$3000,0)),"")</f>
        <v/>
      </c>
      <c r="H73" s="60" t="n">
        <v>58</v>
      </c>
      <c r="I73" s="59">
        <f>IFERROR(INDEX(Produits!$G$2:$G$3000,MATCH(F73,Produits!$A$2:$A$3000,0)),"")</f>
        <v/>
      </c>
      <c r="J73" s="62" t="n">
        <v>0.08</v>
      </c>
      <c r="K73" s="59">
        <f>IF(OR(H73="",I73=""),"",ROUND(H73*I73*(1-J73),2))</f>
        <v/>
      </c>
      <c r="L73" s="58" t="n">
        <v>45754</v>
      </c>
      <c r="M73" s="58" t="n">
        <v>45757</v>
      </c>
      <c r="N73" s="60">
        <f>IF(M73="","",MAX(0,M73-L73))</f>
        <v/>
      </c>
      <c r="O73" s="57" t="inlineStr">
        <is>
          <t>Facturée</t>
        </is>
      </c>
      <c r="P73" s="57" t="inlineStr">
        <is>
          <t>U005</t>
        </is>
      </c>
    </row>
    <row r="74" ht="15" customHeight="1" s="34">
      <c r="A74" s="57" t="inlineStr">
        <is>
          <t>CMD-2025-0073</t>
        </is>
      </c>
      <c r="B74" s="57" t="inlineStr">
        <is>
          <t>PO-MOE-87536</t>
        </is>
      </c>
      <c r="C74" s="58" t="n">
        <v>45742</v>
      </c>
      <c r="D74" s="57" t="inlineStr">
        <is>
          <t>E008</t>
        </is>
      </c>
      <c r="E74" s="57">
        <f>IFERROR(INDEX(Entreprises!$B$2:$B$3000,MATCH(D74,Entreprises!$A$2:$A$3000,0)),"")</f>
        <v/>
      </c>
      <c r="F74" s="57" t="inlineStr">
        <is>
          <t>P006</t>
        </is>
      </c>
      <c r="G74" s="57">
        <f>IFERROR(INDEX(Produits!$C$2:$C$3000,MATCH(F74,Produits!$A$2:$A$3000,0)),"")</f>
        <v/>
      </c>
      <c r="H74" s="60" t="n">
        <v>59</v>
      </c>
      <c r="I74" s="59">
        <f>IFERROR(INDEX(Produits!$G$2:$G$3000,MATCH(F74,Produits!$A$2:$A$3000,0)),"")</f>
        <v/>
      </c>
      <c r="J74" s="62" t="n">
        <v>0.08</v>
      </c>
      <c r="K74" s="59">
        <f>IF(OR(H74="",I74=""),"",ROUND(H74*I74*(1-J74),2))</f>
        <v/>
      </c>
      <c r="L74" s="58" t="n">
        <v>45756</v>
      </c>
      <c r="M74" s="58" t="n">
        <v>45756</v>
      </c>
      <c r="N74" s="60">
        <f>IF(M74="","",MAX(0,M74-L74))</f>
        <v/>
      </c>
      <c r="O74" s="57" t="inlineStr">
        <is>
          <t>Facturée</t>
        </is>
      </c>
      <c r="P74" s="57" t="inlineStr">
        <is>
          <t>U003</t>
        </is>
      </c>
    </row>
    <row r="75" ht="15" customHeight="1" s="34">
      <c r="A75" s="57" t="inlineStr">
        <is>
          <t>CMD-2025-0074</t>
        </is>
      </c>
      <c r="B75" s="57" t="inlineStr">
        <is>
          <t>PO-LAU-51225</t>
        </is>
      </c>
      <c r="C75" s="58" t="n">
        <v>45742</v>
      </c>
      <c r="D75" s="57" t="inlineStr">
        <is>
          <t>E009</t>
        </is>
      </c>
      <c r="E75" s="57">
        <f>IFERROR(INDEX(Entreprises!$B$2:$B$3000,MATCH(D75,Entreprises!$A$2:$A$3000,0)),"")</f>
        <v/>
      </c>
      <c r="F75" s="57" t="inlineStr">
        <is>
          <t>P007</t>
        </is>
      </c>
      <c r="G75" s="57">
        <f>IFERROR(INDEX(Produits!$C$2:$C$3000,MATCH(F75,Produits!$A$2:$A$3000,0)),"")</f>
        <v/>
      </c>
      <c r="H75" s="60" t="n">
        <v>25</v>
      </c>
      <c r="I75" s="59">
        <f>IFERROR(INDEX(Produits!$G$2:$G$3000,MATCH(F75,Produits!$A$2:$A$3000,0)),"")</f>
        <v/>
      </c>
      <c r="J75" s="62" t="n">
        <v>0.05</v>
      </c>
      <c r="K75" s="59">
        <f>IF(OR(H75="",I75=""),"",ROUND(H75*I75*(1-J75),2))</f>
        <v/>
      </c>
      <c r="L75" s="58" t="n">
        <v>45756</v>
      </c>
      <c r="M75" s="58" t="n">
        <v>45758</v>
      </c>
      <c r="N75" s="60">
        <f>IF(M75="","",MAX(0,M75-L75))</f>
        <v/>
      </c>
      <c r="O75" s="57" t="inlineStr">
        <is>
          <t>Facturée</t>
        </is>
      </c>
      <c r="P75" s="57" t="inlineStr">
        <is>
          <t>U003</t>
        </is>
      </c>
    </row>
    <row r="76" ht="15" customHeight="1" s="34">
      <c r="A76" s="57" t="inlineStr">
        <is>
          <t>CMD-2025-0075</t>
        </is>
      </c>
      <c r="B76" s="57" t="inlineStr">
        <is>
          <t>PO-BOI-45957</t>
        </is>
      </c>
      <c r="C76" s="58" t="n">
        <v>45744</v>
      </c>
      <c r="D76" s="57" t="inlineStr">
        <is>
          <t>E013</t>
        </is>
      </c>
      <c r="E76" s="57">
        <f>IFERROR(INDEX(Entreprises!$B$2:$B$3000,MATCH(D76,Entreprises!$A$2:$A$3000,0)),"")</f>
        <v/>
      </c>
      <c r="F76" s="57" t="inlineStr">
        <is>
          <t>P001</t>
        </is>
      </c>
      <c r="G76" s="57">
        <f>IFERROR(INDEX(Produits!$C$2:$C$3000,MATCH(F76,Produits!$A$2:$A$3000,0)),"")</f>
        <v/>
      </c>
      <c r="H76" s="60" t="n">
        <v>88</v>
      </c>
      <c r="I76" s="59">
        <f>IFERROR(INDEX(Produits!$G$2:$G$3000,MATCH(F76,Produits!$A$2:$A$3000,0)),"")</f>
        <v/>
      </c>
      <c r="J76" s="62" t="n">
        <v>0.04</v>
      </c>
      <c r="K76" s="59">
        <f>IF(OR(H76="",I76=""),"",ROUND(H76*I76*(1-J76),2))</f>
        <v/>
      </c>
      <c r="L76" s="58" t="n">
        <v>45758</v>
      </c>
      <c r="M76" s="58" t="n">
        <v>45757</v>
      </c>
      <c r="N76" s="60">
        <f>IF(M76="","",MAX(0,M76-L76))</f>
        <v/>
      </c>
      <c r="O76" s="57" t="inlineStr">
        <is>
          <t>Facturée</t>
        </is>
      </c>
      <c r="P76" s="57" t="inlineStr">
        <is>
          <t>U004</t>
        </is>
      </c>
    </row>
    <row r="77" ht="15" customHeight="1" s="34">
      <c r="A77" s="57" t="inlineStr">
        <is>
          <t>CMD-2025-0076</t>
        </is>
      </c>
      <c r="B77" s="57" t="inlineStr">
        <is>
          <t>PO-LES-89546</t>
        </is>
      </c>
      <c r="C77" s="58" t="n">
        <v>45747</v>
      </c>
      <c r="D77" s="57" t="inlineStr">
        <is>
          <t>E002</t>
        </is>
      </c>
      <c r="E77" s="57">
        <f>IFERROR(INDEX(Entreprises!$B$2:$B$3000,MATCH(D77,Entreprises!$A$2:$A$3000,0)),"")</f>
        <v/>
      </c>
      <c r="F77" s="57" t="inlineStr">
        <is>
          <t>P007</t>
        </is>
      </c>
      <c r="G77" s="57">
        <f>IFERROR(INDEX(Produits!$C$2:$C$3000,MATCH(F77,Produits!$A$2:$A$3000,0)),"")</f>
        <v/>
      </c>
      <c r="H77" s="60" t="n">
        <v>43</v>
      </c>
      <c r="I77" s="59">
        <f>IFERROR(INDEX(Produits!$G$2:$G$3000,MATCH(F77,Produits!$A$2:$A$3000,0)),"")</f>
        <v/>
      </c>
      <c r="J77" s="62" t="n">
        <v>0.07000000000000001</v>
      </c>
      <c r="K77" s="59">
        <f>IF(OR(H77="",I77=""),"",ROUND(H77*I77*(1-J77),2))</f>
        <v/>
      </c>
      <c r="L77" s="58" t="n">
        <v>45761</v>
      </c>
      <c r="M77" s="58" t="n">
        <v>45761</v>
      </c>
      <c r="N77" s="60">
        <f>IF(M77="","",MAX(0,M77-L77))</f>
        <v/>
      </c>
      <c r="O77" s="57" t="inlineStr">
        <is>
          <t>Facturée</t>
        </is>
      </c>
      <c r="P77" s="57" t="inlineStr">
        <is>
          <t>U002</t>
        </is>
      </c>
    </row>
    <row r="78" ht="15" customHeight="1" s="34">
      <c r="A78" s="57" t="inlineStr">
        <is>
          <t>CMD-2025-0077</t>
        </is>
      </c>
      <c r="B78" s="57" t="inlineStr">
        <is>
          <t>PO-REM-63468</t>
        </is>
      </c>
      <c r="C78" s="58" t="n">
        <v>45747</v>
      </c>
      <c r="D78" s="57" t="inlineStr">
        <is>
          <t>E017</t>
        </is>
      </c>
      <c r="E78" s="57">
        <f>IFERROR(INDEX(Entreprises!$B$2:$B$3000,MATCH(D78,Entreprises!$A$2:$A$3000,0)),"")</f>
        <v/>
      </c>
      <c r="F78" s="57" t="inlineStr">
        <is>
          <t>P006</t>
        </is>
      </c>
      <c r="G78" s="57">
        <f>IFERROR(INDEX(Produits!$C$2:$C$3000,MATCH(F78,Produits!$A$2:$A$3000,0)),"")</f>
        <v/>
      </c>
      <c r="H78" s="60" t="n">
        <v>32</v>
      </c>
      <c r="I78" s="59">
        <f>IFERROR(INDEX(Produits!$G$2:$G$3000,MATCH(F78,Produits!$A$2:$A$3000,0)),"")</f>
        <v/>
      </c>
      <c r="J78" s="62" t="n">
        <v>0.06</v>
      </c>
      <c r="K78" s="59">
        <f>IF(OR(H78="",I78=""),"",ROUND(H78*I78*(1-J78),2))</f>
        <v/>
      </c>
      <c r="L78" s="58" t="n">
        <v>45761</v>
      </c>
      <c r="M78" s="58" t="n">
        <v>45761</v>
      </c>
      <c r="N78" s="60">
        <f>IF(M78="","",MAX(0,M78-L78))</f>
        <v/>
      </c>
      <c r="O78" s="57" t="inlineStr">
        <is>
          <t>Facturée</t>
        </is>
      </c>
      <c r="P78" s="57" t="inlineStr">
        <is>
          <t>U005</t>
        </is>
      </c>
    </row>
    <row r="79" ht="15" customHeight="1" s="34">
      <c r="A79" s="57" t="inlineStr">
        <is>
          <t>CMD-2025-0078</t>
        </is>
      </c>
      <c r="B79" s="57" t="inlineStr">
        <is>
          <t>PO-PER-51451</t>
        </is>
      </c>
      <c r="C79" s="58" t="n">
        <v>45747</v>
      </c>
      <c r="D79" s="57" t="inlineStr">
        <is>
          <t>E025</t>
        </is>
      </c>
      <c r="E79" s="57">
        <f>IFERROR(INDEX(Entreprises!$B$2:$B$3000,MATCH(D79,Entreprises!$A$2:$A$3000,0)),"")</f>
        <v/>
      </c>
      <c r="F79" s="57" t="inlineStr">
        <is>
          <t>P005</t>
        </is>
      </c>
      <c r="G79" s="57">
        <f>IFERROR(INDEX(Produits!$C$2:$C$3000,MATCH(F79,Produits!$A$2:$A$3000,0)),"")</f>
        <v/>
      </c>
      <c r="H79" s="60" t="n">
        <v>79</v>
      </c>
      <c r="I79" s="59">
        <f>IFERROR(INDEX(Produits!$G$2:$G$3000,MATCH(F79,Produits!$A$2:$A$3000,0)),"")</f>
        <v/>
      </c>
      <c r="J79" s="62" t="n">
        <v>0.05</v>
      </c>
      <c r="K79" s="59">
        <f>IF(OR(H79="",I79=""),"",ROUND(H79*I79*(1-J79),2))</f>
        <v/>
      </c>
      <c r="L79" s="58" t="n">
        <v>45761</v>
      </c>
      <c r="M79" s="58" t="n">
        <v>45763</v>
      </c>
      <c r="N79" s="60">
        <f>IF(M79="","",MAX(0,M79-L79))</f>
        <v/>
      </c>
      <c r="O79" s="57" t="inlineStr">
        <is>
          <t>Facturée</t>
        </is>
      </c>
      <c r="P79" s="57" t="inlineStr">
        <is>
          <t>U007</t>
        </is>
      </c>
    </row>
    <row r="80" ht="15" customHeight="1" s="34">
      <c r="A80" s="57" t="inlineStr">
        <is>
          <t>CMD-2025-0079</t>
        </is>
      </c>
      <c r="B80" s="57" t="inlineStr">
        <is>
          <t>PO-BON-21432</t>
        </is>
      </c>
      <c r="C80" s="58" t="n">
        <v>45748</v>
      </c>
      <c r="D80" s="57" t="inlineStr">
        <is>
          <t>E001</t>
        </is>
      </c>
      <c r="E80" s="57">
        <f>IFERROR(INDEX(Entreprises!$B$2:$B$3000,MATCH(D80,Entreprises!$A$2:$A$3000,0)),"")</f>
        <v/>
      </c>
      <c r="F80" s="57" t="inlineStr">
        <is>
          <t>P003</t>
        </is>
      </c>
      <c r="G80" s="57">
        <f>IFERROR(INDEX(Produits!$C$2:$C$3000,MATCH(F80,Produits!$A$2:$A$3000,0)),"")</f>
        <v/>
      </c>
      <c r="H80" s="60" t="n">
        <v>124</v>
      </c>
      <c r="I80" s="59">
        <f>IFERROR(INDEX(Produits!$G$2:$G$3000,MATCH(F80,Produits!$A$2:$A$3000,0)),"")</f>
        <v/>
      </c>
      <c r="J80" s="62" t="n">
        <v>0.06</v>
      </c>
      <c r="K80" s="59">
        <f>IF(OR(H80="",I80=""),"",ROUND(H80*I80*(1-J80),2))</f>
        <v/>
      </c>
      <c r="L80" s="58" t="n">
        <v>45762</v>
      </c>
      <c r="M80" s="58" t="n">
        <v>45764</v>
      </c>
      <c r="N80" s="60">
        <f>IF(M80="","",MAX(0,M80-L80))</f>
        <v/>
      </c>
      <c r="O80" s="57" t="inlineStr">
        <is>
          <t>Facturée</t>
        </is>
      </c>
      <c r="P80" s="57" t="inlineStr">
        <is>
          <t>U002</t>
        </is>
      </c>
    </row>
    <row r="81" ht="15" customHeight="1" s="34">
      <c r="A81" s="57" t="inlineStr">
        <is>
          <t>CMD-2025-0080</t>
        </is>
      </c>
      <c r="B81" s="57" t="inlineStr">
        <is>
          <t>PO-SAV-14090</t>
        </is>
      </c>
      <c r="C81" s="58" t="n">
        <v>45756</v>
      </c>
      <c r="D81" s="57" t="inlineStr">
        <is>
          <t>E028</t>
        </is>
      </c>
      <c r="E81" s="57">
        <f>IFERROR(INDEX(Entreprises!$B$2:$B$3000,MATCH(D81,Entreprises!$A$2:$A$3000,0)),"")</f>
        <v/>
      </c>
      <c r="F81" s="57" t="inlineStr">
        <is>
          <t>P003</t>
        </is>
      </c>
      <c r="G81" s="57">
        <f>IFERROR(INDEX(Produits!$C$2:$C$3000,MATCH(F81,Produits!$A$2:$A$3000,0)),"")</f>
        <v/>
      </c>
      <c r="H81" s="60" t="n">
        <v>142</v>
      </c>
      <c r="I81" s="59">
        <f>IFERROR(INDEX(Produits!$G$2:$G$3000,MATCH(F81,Produits!$A$2:$A$3000,0)),"")</f>
        <v/>
      </c>
      <c r="J81" s="62" t="n">
        <v>0.06</v>
      </c>
      <c r="K81" s="59">
        <f>IF(OR(H81="",I81=""),"",ROUND(H81*I81*(1-J81),2))</f>
        <v/>
      </c>
      <c r="L81" s="58" t="n">
        <v>45770</v>
      </c>
      <c r="M81" s="58" t="n">
        <v>45770</v>
      </c>
      <c r="N81" s="60">
        <f>IF(M81="","",MAX(0,M81-L81))</f>
        <v/>
      </c>
      <c r="O81" s="57" t="inlineStr">
        <is>
          <t>Facturée</t>
        </is>
      </c>
      <c r="P81" s="57" t="inlineStr">
        <is>
          <t>U007</t>
        </is>
      </c>
    </row>
    <row r="82" ht="15" customHeight="1" s="34">
      <c r="A82" s="57" t="inlineStr">
        <is>
          <t>CMD-2025-0081</t>
        </is>
      </c>
      <c r="B82" s="57" t="inlineStr">
        <is>
          <t>PO-BIO-45951</t>
        </is>
      </c>
      <c r="C82" s="58" t="n">
        <v>45757</v>
      </c>
      <c r="D82" s="57" t="inlineStr">
        <is>
          <t>E012</t>
        </is>
      </c>
      <c r="E82" s="57">
        <f>IFERROR(INDEX(Entreprises!$B$2:$B$3000,MATCH(D82,Entreprises!$A$2:$A$3000,0)),"")</f>
        <v/>
      </c>
      <c r="F82" s="57" t="inlineStr">
        <is>
          <t>P001</t>
        </is>
      </c>
      <c r="G82" s="57">
        <f>IFERROR(INDEX(Produits!$C$2:$C$3000,MATCH(F82,Produits!$A$2:$A$3000,0)),"")</f>
        <v/>
      </c>
      <c r="H82" s="60" t="n">
        <v>169</v>
      </c>
      <c r="I82" s="59">
        <f>IFERROR(INDEX(Produits!$G$2:$G$3000,MATCH(F82,Produits!$A$2:$A$3000,0)),"")</f>
        <v/>
      </c>
      <c r="J82" s="62" t="n">
        <v>0.07000000000000001</v>
      </c>
      <c r="K82" s="59">
        <f>IF(OR(H82="",I82=""),"",ROUND(H82*I82*(1-J82),2))</f>
        <v/>
      </c>
      <c r="L82" s="58" t="n">
        <v>45771</v>
      </c>
      <c r="M82" s="58" t="n">
        <v>45771</v>
      </c>
      <c r="N82" s="60">
        <f>IF(M82="","",MAX(0,M82-L82))</f>
        <v/>
      </c>
      <c r="O82" s="57" t="inlineStr">
        <is>
          <t>Facturée</t>
        </is>
      </c>
      <c r="P82" s="57" t="inlineStr">
        <is>
          <t>U004</t>
        </is>
      </c>
    </row>
    <row r="83" ht="15" customHeight="1" s="34">
      <c r="A83" s="57" t="inlineStr">
        <is>
          <t>CMD-2025-0082</t>
        </is>
      </c>
      <c r="B83" s="57" t="inlineStr">
        <is>
          <t>PO-LOR-52254</t>
        </is>
      </c>
      <c r="C83" s="58" t="n">
        <v>45763</v>
      </c>
      <c r="D83" s="57" t="inlineStr">
        <is>
          <t>E027</t>
        </is>
      </c>
      <c r="E83" s="57">
        <f>IFERROR(INDEX(Entreprises!$B$2:$B$3000,MATCH(D83,Entreprises!$A$2:$A$3000,0)),"")</f>
        <v/>
      </c>
      <c r="F83" s="57" t="inlineStr">
        <is>
          <t>P008</t>
        </is>
      </c>
      <c r="G83" s="57">
        <f>IFERROR(INDEX(Produits!$C$2:$C$3000,MATCH(F83,Produits!$A$2:$A$3000,0)),"")</f>
        <v/>
      </c>
      <c r="H83" s="60" t="n">
        <v>163</v>
      </c>
      <c r="I83" s="59">
        <f>IFERROR(INDEX(Produits!$G$2:$G$3000,MATCH(F83,Produits!$A$2:$A$3000,0)),"")</f>
        <v/>
      </c>
      <c r="J83" s="62" t="n">
        <v>0.08</v>
      </c>
      <c r="K83" s="59">
        <f>IF(OR(H83="",I83=""),"",ROUND(H83*I83*(1-J83),2))</f>
        <v/>
      </c>
      <c r="L83" s="58" t="n">
        <v>45777</v>
      </c>
      <c r="M83" s="58" t="n">
        <v>45777</v>
      </c>
      <c r="N83" s="60">
        <f>IF(M83="","",MAX(0,M83-L83))</f>
        <v/>
      </c>
      <c r="O83" s="57" t="inlineStr">
        <is>
          <t>Facturée</t>
        </is>
      </c>
      <c r="P83" s="57" t="inlineStr">
        <is>
          <t>U007</t>
        </is>
      </c>
    </row>
    <row r="84" ht="15" customHeight="1" s="34">
      <c r="A84" s="57" t="inlineStr">
        <is>
          <t>CMD-2025-0083</t>
        </is>
      </c>
      <c r="B84" s="57" t="inlineStr">
        <is>
          <t>PO-SEB-73674</t>
        </is>
      </c>
      <c r="C84" s="58" t="n">
        <v>45768</v>
      </c>
      <c r="D84" s="57" t="inlineStr">
        <is>
          <t>E014</t>
        </is>
      </c>
      <c r="E84" s="57">
        <f>IFERROR(INDEX(Entreprises!$B$2:$B$3000,MATCH(D84,Entreprises!$A$2:$A$3000,0)),"")</f>
        <v/>
      </c>
      <c r="F84" s="57" t="inlineStr">
        <is>
          <t>P008</t>
        </is>
      </c>
      <c r="G84" s="57">
        <f>IFERROR(INDEX(Produits!$C$2:$C$3000,MATCH(F84,Produits!$A$2:$A$3000,0)),"")</f>
        <v/>
      </c>
      <c r="H84" s="60" t="n">
        <v>150</v>
      </c>
      <c r="I84" s="59">
        <f>IFERROR(INDEX(Produits!$G$2:$G$3000,MATCH(F84,Produits!$A$2:$A$3000,0)),"")</f>
        <v/>
      </c>
      <c r="J84" s="62" t="n">
        <v>0.07000000000000001</v>
      </c>
      <c r="K84" s="59">
        <f>IF(OR(H84="",I84=""),"",ROUND(H84*I84*(1-J84),2))</f>
        <v/>
      </c>
      <c r="L84" s="58" t="n">
        <v>45782</v>
      </c>
      <c r="M84" s="58" t="n">
        <v>45785</v>
      </c>
      <c r="N84" s="60">
        <f>IF(M84="","",MAX(0,M84-L84))</f>
        <v/>
      </c>
      <c r="O84" s="57" t="inlineStr">
        <is>
          <t>Facturée</t>
        </is>
      </c>
      <c r="P84" s="57" t="inlineStr">
        <is>
          <t>U004</t>
        </is>
      </c>
    </row>
    <row r="85" ht="15" customHeight="1" s="34">
      <c r="A85" s="57" t="inlineStr">
        <is>
          <t>CMD-2025-0084</t>
        </is>
      </c>
      <c r="B85" s="57" t="inlineStr">
        <is>
          <t>PO-PIE-68929</t>
        </is>
      </c>
      <c r="C85" s="58" t="n">
        <v>45768</v>
      </c>
      <c r="D85" s="57" t="inlineStr">
        <is>
          <t>E019</t>
        </is>
      </c>
      <c r="E85" s="57">
        <f>IFERROR(INDEX(Entreprises!$B$2:$B$3000,MATCH(D85,Entreprises!$A$2:$A$3000,0)),"")</f>
        <v/>
      </c>
      <c r="F85" s="57" t="inlineStr">
        <is>
          <t>P002</t>
        </is>
      </c>
      <c r="G85" s="57">
        <f>IFERROR(INDEX(Produits!$C$2:$C$3000,MATCH(F85,Produits!$A$2:$A$3000,0)),"")</f>
        <v/>
      </c>
      <c r="H85" s="60" t="n">
        <v>477</v>
      </c>
      <c r="I85" s="59">
        <f>IFERROR(INDEX(Produits!$G$2:$G$3000,MATCH(F85,Produits!$A$2:$A$3000,0)),"")</f>
        <v/>
      </c>
      <c r="J85" s="62" t="n">
        <v>0.07000000000000001</v>
      </c>
      <c r="K85" s="59">
        <f>IF(OR(H85="",I85=""),"",ROUND(H85*I85*(1-J85),2))</f>
        <v/>
      </c>
      <c r="L85" s="58" t="n">
        <v>45782</v>
      </c>
      <c r="M85" s="58" t="n">
        <v>45782</v>
      </c>
      <c r="N85" s="60">
        <f>IF(M85="","",MAX(0,M85-L85))</f>
        <v/>
      </c>
      <c r="O85" s="57" t="inlineStr">
        <is>
          <t>Facturée</t>
        </is>
      </c>
      <c r="P85" s="57" t="inlineStr">
        <is>
          <t>U005</t>
        </is>
      </c>
    </row>
    <row r="86" ht="15" customHeight="1" s="34">
      <c r="A86" s="57" t="inlineStr">
        <is>
          <t>CMD-2025-0085</t>
        </is>
      </c>
      <c r="B86" s="57" t="inlineStr">
        <is>
          <t>PO-SCH-18496</t>
        </is>
      </c>
      <c r="C86" s="58" t="n">
        <v>45768</v>
      </c>
      <c r="D86" s="57" t="inlineStr">
        <is>
          <t>E030</t>
        </is>
      </c>
      <c r="E86" s="57">
        <f>IFERROR(INDEX(Entreprises!$B$2:$B$3000,MATCH(D86,Entreprises!$A$2:$A$3000,0)),"")</f>
        <v/>
      </c>
      <c r="F86" s="57" t="inlineStr">
        <is>
          <t>P008</t>
        </is>
      </c>
      <c r="G86" s="57">
        <f>IFERROR(INDEX(Produits!$C$2:$C$3000,MATCH(F86,Produits!$A$2:$A$3000,0)),"")</f>
        <v/>
      </c>
      <c r="H86" s="60" t="n">
        <v>110</v>
      </c>
      <c r="I86" s="59">
        <f>IFERROR(INDEX(Produits!$G$2:$G$3000,MATCH(F86,Produits!$A$2:$A$3000,0)),"")</f>
        <v/>
      </c>
      <c r="J86" s="62" t="n">
        <v>0.05</v>
      </c>
      <c r="K86" s="59">
        <f>IF(OR(H86="",I86=""),"",ROUND(H86*I86*(1-J86),2))</f>
        <v/>
      </c>
      <c r="L86" s="58" t="n">
        <v>45782</v>
      </c>
      <c r="M86" s="58" t="n">
        <v>45782</v>
      </c>
      <c r="N86" s="60">
        <f>IF(M86="","",MAX(0,M86-L86))</f>
        <v/>
      </c>
      <c r="O86" s="57" t="inlineStr">
        <is>
          <t>Facturée</t>
        </is>
      </c>
      <c r="P86" s="57" t="inlineStr">
        <is>
          <t>U007</t>
        </is>
      </c>
    </row>
    <row r="87" ht="15" customHeight="1" s="34">
      <c r="A87" s="57" t="inlineStr">
        <is>
          <t>CMD-2025-0086</t>
        </is>
      </c>
      <c r="B87" s="57" t="inlineStr">
        <is>
          <t>PO-IPS-25260</t>
        </is>
      </c>
      <c r="C87" s="58" t="n">
        <v>45769</v>
      </c>
      <c r="D87" s="57" t="inlineStr">
        <is>
          <t>E023</t>
        </is>
      </c>
      <c r="E87" s="57">
        <f>IFERROR(INDEX(Entreprises!$B$2:$B$3000,MATCH(D87,Entreprises!$A$2:$A$3000,0)),"")</f>
        <v/>
      </c>
      <c r="F87" s="57" t="inlineStr">
        <is>
          <t>P004</t>
        </is>
      </c>
      <c r="G87" s="57">
        <f>IFERROR(INDEX(Produits!$C$2:$C$3000,MATCH(F87,Produits!$A$2:$A$3000,0)),"")</f>
        <v/>
      </c>
      <c r="H87" s="60" t="n">
        <v>98</v>
      </c>
      <c r="I87" s="59">
        <f>IFERROR(INDEX(Produits!$G$2:$G$3000,MATCH(F87,Produits!$A$2:$A$3000,0)),"")</f>
        <v/>
      </c>
      <c r="J87" s="62" t="n">
        <v>0.07000000000000001</v>
      </c>
      <c r="K87" s="59">
        <f>IF(OR(H87="",I87=""),"",ROUND(H87*I87*(1-J87),2))</f>
        <v/>
      </c>
      <c r="L87" s="58" t="n">
        <v>45783</v>
      </c>
      <c r="M87" s="58" t="n">
        <v>45785</v>
      </c>
      <c r="N87" s="60">
        <f>IF(M87="","",MAX(0,M87-L87))</f>
        <v/>
      </c>
      <c r="O87" s="57" t="inlineStr">
        <is>
          <t>Facturée</t>
        </is>
      </c>
      <c r="P87" s="57" t="inlineStr">
        <is>
          <t>U006</t>
        </is>
      </c>
    </row>
    <row r="88" ht="15" customHeight="1" s="34">
      <c r="A88" s="57" t="inlineStr">
        <is>
          <t>CMD-2025-0087</t>
        </is>
      </c>
      <c r="B88" s="57" t="inlineStr">
        <is>
          <t>PO-SAN-70792</t>
        </is>
      </c>
      <c r="C88" s="58" t="n">
        <v>45772</v>
      </c>
      <c r="D88" s="57" t="inlineStr">
        <is>
          <t>E022</t>
        </is>
      </c>
      <c r="E88" s="57">
        <f>IFERROR(INDEX(Entreprises!$B$2:$B$3000,MATCH(D88,Entreprises!$A$2:$A$3000,0)),"")</f>
        <v/>
      </c>
      <c r="F88" s="57" t="inlineStr">
        <is>
          <t>P002</t>
        </is>
      </c>
      <c r="G88" s="57">
        <f>IFERROR(INDEX(Produits!$C$2:$C$3000,MATCH(F88,Produits!$A$2:$A$3000,0)),"")</f>
        <v/>
      </c>
      <c r="H88" s="60" t="n">
        <v>665</v>
      </c>
      <c r="I88" s="59">
        <f>IFERROR(INDEX(Produits!$G$2:$G$3000,MATCH(F88,Produits!$A$2:$A$3000,0)),"")</f>
        <v/>
      </c>
      <c r="J88" s="62" t="n">
        <v>0.06</v>
      </c>
      <c r="K88" s="59">
        <f>IF(OR(H88="",I88=""),"",ROUND(H88*I88*(1-J88),2))</f>
        <v/>
      </c>
      <c r="L88" s="58" t="n">
        <v>45786</v>
      </c>
      <c r="M88" s="58" t="n">
        <v>45786</v>
      </c>
      <c r="N88" s="60">
        <f>IF(M88="","",MAX(0,M88-L88))</f>
        <v/>
      </c>
      <c r="O88" s="57" t="inlineStr">
        <is>
          <t>Facturée</t>
        </is>
      </c>
      <c r="P88" s="57" t="inlineStr">
        <is>
          <t>U006</t>
        </is>
      </c>
    </row>
    <row r="89" ht="15" customHeight="1" s="34">
      <c r="A89" s="57" t="inlineStr">
        <is>
          <t>CMD-2025-0088</t>
        </is>
      </c>
      <c r="B89" s="57" t="inlineStr">
        <is>
          <t>PO-DAN-55955</t>
        </is>
      </c>
      <c r="C89" s="58" t="n">
        <v>45775</v>
      </c>
      <c r="D89" s="57" t="inlineStr">
        <is>
          <t>E026</t>
        </is>
      </c>
      <c r="E89" s="57">
        <f>IFERROR(INDEX(Entreprises!$B$2:$B$3000,MATCH(D89,Entreprises!$A$2:$A$3000,0)),"")</f>
        <v/>
      </c>
      <c r="F89" s="57" t="inlineStr">
        <is>
          <t>P003</t>
        </is>
      </c>
      <c r="G89" s="57">
        <f>IFERROR(INDEX(Produits!$C$2:$C$3000,MATCH(F89,Produits!$A$2:$A$3000,0)),"")</f>
        <v/>
      </c>
      <c r="H89" s="60" t="n">
        <v>392</v>
      </c>
      <c r="I89" s="59">
        <f>IFERROR(INDEX(Produits!$G$2:$G$3000,MATCH(F89,Produits!$A$2:$A$3000,0)),"")</f>
        <v/>
      </c>
      <c r="J89" s="62" t="n">
        <v>0.08</v>
      </c>
      <c r="K89" s="59">
        <f>IF(OR(H89="",I89=""),"",ROUND(H89*I89*(1-J89),2))</f>
        <v/>
      </c>
      <c r="L89" s="58" t="n">
        <v>45789</v>
      </c>
      <c r="M89" s="58" t="n">
        <v>45791</v>
      </c>
      <c r="N89" s="60">
        <f>IF(M89="","",MAX(0,M89-L89))</f>
        <v/>
      </c>
      <c r="O89" s="57" t="inlineStr">
        <is>
          <t>Facturée</t>
        </is>
      </c>
      <c r="P89" s="57" t="inlineStr">
        <is>
          <t>U007</t>
        </is>
      </c>
    </row>
    <row r="90" ht="15" customHeight="1" s="34">
      <c r="A90" s="57" t="inlineStr">
        <is>
          <t>CMD-2025-0089</t>
        </is>
      </c>
      <c r="B90" s="57" t="inlineStr">
        <is>
          <t>PO-GUE-84084</t>
        </is>
      </c>
      <c r="C90" s="58" t="n">
        <v>45777</v>
      </c>
      <c r="D90" s="57" t="inlineStr">
        <is>
          <t>E003</t>
        </is>
      </c>
      <c r="E90" s="57">
        <f>IFERROR(INDEX(Entreprises!$B$2:$B$3000,MATCH(D90,Entreprises!$A$2:$A$3000,0)),"")</f>
        <v/>
      </c>
      <c r="F90" s="57" t="inlineStr">
        <is>
          <t>P001</t>
        </is>
      </c>
      <c r="G90" s="57">
        <f>IFERROR(INDEX(Produits!$C$2:$C$3000,MATCH(F90,Produits!$A$2:$A$3000,0)),"")</f>
        <v/>
      </c>
      <c r="H90" s="60" t="n">
        <v>110</v>
      </c>
      <c r="I90" s="59">
        <f>IFERROR(INDEX(Produits!$G$2:$G$3000,MATCH(F90,Produits!$A$2:$A$3000,0)),"")</f>
        <v/>
      </c>
      <c r="J90" s="62" t="n">
        <v>0.04</v>
      </c>
      <c r="K90" s="59">
        <f>IF(OR(H90="",I90=""),"",ROUND(H90*I90*(1-J90),2))</f>
        <v/>
      </c>
      <c r="L90" s="58" t="n">
        <v>45791</v>
      </c>
      <c r="M90" s="58" t="n">
        <v>45792</v>
      </c>
      <c r="N90" s="60">
        <f>IF(M90="","",MAX(0,M90-L90))</f>
        <v/>
      </c>
      <c r="O90" s="57" t="inlineStr">
        <is>
          <t>Facturée</t>
        </is>
      </c>
      <c r="P90" s="57" t="inlineStr">
        <is>
          <t>U002</t>
        </is>
      </c>
    </row>
    <row r="91" ht="15" customHeight="1" s="34">
      <c r="A91" s="57" t="inlineStr">
        <is>
          <t>CMD-2025-0090</t>
        </is>
      </c>
      <c r="B91" s="57" t="inlineStr">
        <is>
          <t>PO-NEX-42295</t>
        </is>
      </c>
      <c r="C91" s="58" t="n">
        <v>45783</v>
      </c>
      <c r="D91" s="57" t="inlineStr">
        <is>
          <t>E007</t>
        </is>
      </c>
      <c r="E91" s="57">
        <f>IFERROR(INDEX(Entreprises!$B$2:$B$3000,MATCH(D91,Entreprises!$A$2:$A$3000,0)),"")</f>
        <v/>
      </c>
      <c r="F91" s="57" t="inlineStr">
        <is>
          <t>P007</t>
        </is>
      </c>
      <c r="G91" s="57">
        <f>IFERROR(INDEX(Produits!$C$2:$C$3000,MATCH(F91,Produits!$A$2:$A$3000,0)),"")</f>
        <v/>
      </c>
      <c r="H91" s="60" t="n">
        <v>25</v>
      </c>
      <c r="I91" s="59">
        <f>IFERROR(INDEX(Produits!$G$2:$G$3000,MATCH(F91,Produits!$A$2:$A$3000,0)),"")</f>
        <v/>
      </c>
      <c r="J91" s="62" t="n">
        <v>0.08</v>
      </c>
      <c r="K91" s="59">
        <f>IF(OR(H91="",I91=""),"",ROUND(H91*I91*(1-J91),2))</f>
        <v/>
      </c>
      <c r="L91" s="58" t="n">
        <v>45797</v>
      </c>
      <c r="M91" s="58" t="n">
        <v>45799</v>
      </c>
      <c r="N91" s="60">
        <f>IF(M91="","",MAX(0,M91-L91))</f>
        <v/>
      </c>
      <c r="O91" s="57" t="inlineStr">
        <is>
          <t>Facturée</t>
        </is>
      </c>
      <c r="P91" s="57" t="inlineStr">
        <is>
          <t>U002</t>
        </is>
      </c>
    </row>
    <row r="92" ht="15" customHeight="1" s="34">
      <c r="A92" s="57" t="inlineStr">
        <is>
          <t>CMD-2025-0091</t>
        </is>
      </c>
      <c r="B92" s="57" t="inlineStr">
        <is>
          <t>PO-LEG-11322</t>
        </is>
      </c>
      <c r="C92" s="58" t="n">
        <v>45783</v>
      </c>
      <c r="D92" s="57" t="inlineStr">
        <is>
          <t>E021</t>
        </is>
      </c>
      <c r="E92" s="57">
        <f>IFERROR(INDEX(Entreprises!$B$2:$B$3000,MATCH(D92,Entreprises!$A$2:$A$3000,0)),"")</f>
        <v/>
      </c>
      <c r="F92" s="57" t="inlineStr">
        <is>
          <t>P008</t>
        </is>
      </c>
      <c r="G92" s="57">
        <f>IFERROR(INDEX(Produits!$C$2:$C$3000,MATCH(F92,Produits!$A$2:$A$3000,0)),"")</f>
        <v/>
      </c>
      <c r="H92" s="60" t="n">
        <v>65</v>
      </c>
      <c r="I92" s="59">
        <f>IFERROR(INDEX(Produits!$G$2:$G$3000,MATCH(F92,Produits!$A$2:$A$3000,0)),"")</f>
        <v/>
      </c>
      <c r="J92" s="62" t="n">
        <v>0.05</v>
      </c>
      <c r="K92" s="59">
        <f>IF(OR(H92="",I92=""),"",ROUND(H92*I92*(1-J92),2))</f>
        <v/>
      </c>
      <c r="L92" s="58" t="n">
        <v>45797</v>
      </c>
      <c r="M92" s="58" t="n">
        <v>45799</v>
      </c>
      <c r="N92" s="60">
        <f>IF(M92="","",MAX(0,M92-L92))</f>
        <v/>
      </c>
      <c r="O92" s="57" t="inlineStr">
        <is>
          <t>Facturée</t>
        </is>
      </c>
      <c r="P92" s="57" t="inlineStr">
        <is>
          <t>U005</t>
        </is>
      </c>
    </row>
    <row r="93" ht="15" customHeight="1" s="34">
      <c r="A93" s="57" t="inlineStr">
        <is>
          <t>CMD-2025-0092</t>
        </is>
      </c>
      <c r="B93" s="57" t="inlineStr">
        <is>
          <t>PO-LES-26292</t>
        </is>
      </c>
      <c r="C93" s="58" t="n">
        <v>45790</v>
      </c>
      <c r="D93" s="57" t="inlineStr">
        <is>
          <t>E002</t>
        </is>
      </c>
      <c r="E93" s="57">
        <f>IFERROR(INDEX(Entreprises!$B$2:$B$3000,MATCH(D93,Entreprises!$A$2:$A$3000,0)),"")</f>
        <v/>
      </c>
      <c r="F93" s="57" t="inlineStr">
        <is>
          <t>P007</t>
        </is>
      </c>
      <c r="G93" s="57">
        <f>IFERROR(INDEX(Produits!$C$2:$C$3000,MATCH(F93,Produits!$A$2:$A$3000,0)),"")</f>
        <v/>
      </c>
      <c r="H93" s="60" t="n">
        <v>51</v>
      </c>
      <c r="I93" s="59">
        <f>IFERROR(INDEX(Produits!$G$2:$G$3000,MATCH(F93,Produits!$A$2:$A$3000,0)),"")</f>
        <v/>
      </c>
      <c r="J93" s="62" t="n">
        <v>0.06</v>
      </c>
      <c r="K93" s="59">
        <f>IF(OR(H93="",I93=""),"",ROUND(H93*I93*(1-J93),2))</f>
        <v/>
      </c>
      <c r="L93" s="58" t="n">
        <v>45804</v>
      </c>
      <c r="M93" s="58" t="n">
        <v>45804</v>
      </c>
      <c r="N93" s="60">
        <f>IF(M93="","",MAX(0,M93-L93))</f>
        <v/>
      </c>
      <c r="O93" s="57" t="inlineStr">
        <is>
          <t>Facturée</t>
        </is>
      </c>
      <c r="P93" s="57" t="inlineStr">
        <is>
          <t>U002</t>
        </is>
      </c>
    </row>
    <row r="94" ht="15" customHeight="1" s="34">
      <c r="A94" s="57" t="inlineStr">
        <is>
          <t>CMD-2025-0093</t>
        </is>
      </c>
      <c r="B94" s="57" t="inlineStr">
        <is>
          <t>PO-INT-27959</t>
        </is>
      </c>
      <c r="C94" s="58" t="n">
        <v>45790</v>
      </c>
      <c r="D94" s="57" t="inlineStr">
        <is>
          <t>E004</t>
        </is>
      </c>
      <c r="E94" s="57">
        <f>IFERROR(INDEX(Entreprises!$B$2:$B$3000,MATCH(D94,Entreprises!$A$2:$A$3000,0)),"")</f>
        <v/>
      </c>
      <c r="F94" s="57" t="inlineStr">
        <is>
          <t>P008</t>
        </is>
      </c>
      <c r="G94" s="57">
        <f>IFERROR(INDEX(Produits!$C$2:$C$3000,MATCH(F94,Produits!$A$2:$A$3000,0)),"")</f>
        <v/>
      </c>
      <c r="H94" s="60" t="n">
        <v>49</v>
      </c>
      <c r="I94" s="59">
        <f>IFERROR(INDEX(Produits!$G$2:$G$3000,MATCH(F94,Produits!$A$2:$A$3000,0)),"")</f>
        <v/>
      </c>
      <c r="J94" s="62" t="n">
        <v>0.04</v>
      </c>
      <c r="K94" s="59">
        <f>IF(OR(H94="",I94=""),"",ROUND(H94*I94*(1-J94),2))</f>
        <v/>
      </c>
      <c r="L94" s="58" t="n">
        <v>45804</v>
      </c>
      <c r="M94" s="58" t="n">
        <v>45803</v>
      </c>
      <c r="N94" s="60">
        <f>IF(M94="","",MAX(0,M94-L94))</f>
        <v/>
      </c>
      <c r="O94" s="57" t="inlineStr">
        <is>
          <t>Facturée</t>
        </is>
      </c>
      <c r="P94" s="57" t="inlineStr">
        <is>
          <t>U002</t>
        </is>
      </c>
    </row>
    <row r="95" ht="15" customHeight="1" s="34">
      <c r="A95" s="57" t="inlineStr">
        <is>
          <t>CMD-2025-0094</t>
        </is>
      </c>
      <c r="B95" s="57" t="inlineStr">
        <is>
          <t>PO-BON-67388</t>
        </is>
      </c>
      <c r="C95" s="58" t="n">
        <v>45791</v>
      </c>
      <c r="D95" s="57" t="inlineStr">
        <is>
          <t>E001</t>
        </is>
      </c>
      <c r="E95" s="57">
        <f>IFERROR(INDEX(Entreprises!$B$2:$B$3000,MATCH(D95,Entreprises!$A$2:$A$3000,0)),"")</f>
        <v/>
      </c>
      <c r="F95" s="57" t="inlineStr">
        <is>
          <t>P003</t>
        </is>
      </c>
      <c r="G95" s="57">
        <f>IFERROR(INDEX(Produits!$C$2:$C$3000,MATCH(F95,Produits!$A$2:$A$3000,0)),"")</f>
        <v/>
      </c>
      <c r="H95" s="60" t="n">
        <v>160</v>
      </c>
      <c r="I95" s="59">
        <f>IFERROR(INDEX(Produits!$G$2:$G$3000,MATCH(F95,Produits!$A$2:$A$3000,0)),"")</f>
        <v/>
      </c>
      <c r="J95" s="62" t="n">
        <v>0.07000000000000001</v>
      </c>
      <c r="K95" s="59">
        <f>IF(OR(H95="",I95=""),"",ROUND(H95*I95*(1-J95),2))</f>
        <v/>
      </c>
      <c r="L95" s="58" t="n">
        <v>45805</v>
      </c>
      <c r="M95" s="58" t="n">
        <v>45810</v>
      </c>
      <c r="N95" s="60">
        <f>IF(M95="","",MAX(0,M95-L95))</f>
        <v/>
      </c>
      <c r="O95" s="57" t="inlineStr">
        <is>
          <t>Facturée</t>
        </is>
      </c>
      <c r="P95" s="57" t="inlineStr">
        <is>
          <t>U002</t>
        </is>
      </c>
    </row>
    <row r="96" ht="15" customHeight="1" s="34">
      <c r="A96" s="57" t="inlineStr">
        <is>
          <t>CMD-2025-0095</t>
        </is>
      </c>
      <c r="B96" s="57" t="inlineStr">
        <is>
          <t>PO-LAU-76938</t>
        </is>
      </c>
      <c r="C96" s="58" t="n">
        <v>45791</v>
      </c>
      <c r="D96" s="57" t="inlineStr">
        <is>
          <t>E009</t>
        </is>
      </c>
      <c r="E96" s="57">
        <f>IFERROR(INDEX(Entreprises!$B$2:$B$3000,MATCH(D96,Entreprises!$A$2:$A$3000,0)),"")</f>
        <v/>
      </c>
      <c r="F96" s="57" t="inlineStr">
        <is>
          <t>P007</t>
        </is>
      </c>
      <c r="G96" s="57">
        <f>IFERROR(INDEX(Produits!$C$2:$C$3000,MATCH(F96,Produits!$A$2:$A$3000,0)),"")</f>
        <v/>
      </c>
      <c r="H96" s="60" t="n">
        <v>22</v>
      </c>
      <c r="I96" s="59">
        <f>IFERROR(INDEX(Produits!$G$2:$G$3000,MATCH(F96,Produits!$A$2:$A$3000,0)),"")</f>
        <v/>
      </c>
      <c r="J96" s="62" t="n">
        <v>0.03</v>
      </c>
      <c r="K96" s="59">
        <f>IF(OR(H96="",I96=""),"",ROUND(H96*I96*(1-J96),2))</f>
        <v/>
      </c>
      <c r="L96" s="58" t="n">
        <v>45805</v>
      </c>
      <c r="M96" s="58" t="n">
        <v>45804</v>
      </c>
      <c r="N96" s="60">
        <f>IF(M96="","",MAX(0,M96-L96))</f>
        <v/>
      </c>
      <c r="O96" s="57" t="inlineStr">
        <is>
          <t>Facturée</t>
        </is>
      </c>
      <c r="P96" s="57" t="inlineStr">
        <is>
          <t>U003</t>
        </is>
      </c>
    </row>
    <row r="97" ht="15" customHeight="1" s="34">
      <c r="A97" s="57" t="inlineStr">
        <is>
          <t>CMD-2025-0096</t>
        </is>
      </c>
      <c r="B97" s="57" t="inlineStr">
        <is>
          <t>PO-MAI-25646</t>
        </is>
      </c>
      <c r="C97" s="58" t="n">
        <v>45791</v>
      </c>
      <c r="D97" s="57" t="inlineStr">
        <is>
          <t>E018</t>
        </is>
      </c>
      <c r="E97" s="57">
        <f>IFERROR(INDEX(Entreprises!$B$2:$B$3000,MATCH(D97,Entreprises!$A$2:$A$3000,0)),"")</f>
        <v/>
      </c>
      <c r="F97" s="57" t="inlineStr">
        <is>
          <t>P006</t>
        </is>
      </c>
      <c r="G97" s="57">
        <f>IFERROR(INDEX(Produits!$C$2:$C$3000,MATCH(F97,Produits!$A$2:$A$3000,0)),"")</f>
        <v/>
      </c>
      <c r="H97" s="60" t="n">
        <v>8</v>
      </c>
      <c r="I97" s="59">
        <f>IFERROR(INDEX(Produits!$G$2:$G$3000,MATCH(F97,Produits!$A$2:$A$3000,0)),"")</f>
        <v/>
      </c>
      <c r="J97" s="62" t="n">
        <v>0.01</v>
      </c>
      <c r="K97" s="59">
        <f>IF(OR(H97="",I97=""),"",ROUND(H97*I97*(1-J97),2))</f>
        <v/>
      </c>
      <c r="L97" s="58" t="n">
        <v>45805</v>
      </c>
      <c r="M97" s="58" t="n">
        <v>45810</v>
      </c>
      <c r="N97" s="60">
        <f>IF(M97="","",MAX(0,M97-L97))</f>
        <v/>
      </c>
      <c r="O97" s="57" t="inlineStr">
        <is>
          <t>Facturée</t>
        </is>
      </c>
      <c r="P97" s="57" t="inlineStr">
        <is>
          <t>U005</t>
        </is>
      </c>
    </row>
    <row r="98" ht="15" customHeight="1" s="34">
      <c r="A98" s="57" t="inlineStr">
        <is>
          <t>CMD-2025-0097</t>
        </is>
      </c>
      <c r="B98" s="57" t="inlineStr">
        <is>
          <t>PO-KRO-62575</t>
        </is>
      </c>
      <c r="C98" s="58" t="n">
        <v>45796</v>
      </c>
      <c r="D98" s="57" t="inlineStr">
        <is>
          <t>E011</t>
        </is>
      </c>
      <c r="E98" s="57">
        <f>IFERROR(INDEX(Entreprises!$B$2:$B$3000,MATCH(D98,Entreprises!$A$2:$A$3000,0)),"")</f>
        <v/>
      </c>
      <c r="F98" s="57" t="inlineStr">
        <is>
          <t>P007</t>
        </is>
      </c>
      <c r="G98" s="57">
        <f>IFERROR(INDEX(Produits!$C$2:$C$3000,MATCH(F98,Produits!$A$2:$A$3000,0)),"")</f>
        <v/>
      </c>
      <c r="H98" s="60" t="n">
        <v>41</v>
      </c>
      <c r="I98" s="59">
        <f>IFERROR(INDEX(Produits!$G$2:$G$3000,MATCH(F98,Produits!$A$2:$A$3000,0)),"")</f>
        <v/>
      </c>
      <c r="J98" s="62" t="n">
        <v>0.06</v>
      </c>
      <c r="K98" s="59">
        <f>IF(OR(H98="",I98=""),"",ROUND(H98*I98*(1-J98),2))</f>
        <v/>
      </c>
      <c r="L98" s="58" t="n">
        <v>45810</v>
      </c>
      <c r="M98" s="58" t="n">
        <v>45810</v>
      </c>
      <c r="N98" s="60">
        <f>IF(M98="","",MAX(0,M98-L98))</f>
        <v/>
      </c>
      <c r="O98" s="57" t="inlineStr">
        <is>
          <t>Facturée</t>
        </is>
      </c>
      <c r="P98" s="57" t="inlineStr">
        <is>
          <t>U003</t>
        </is>
      </c>
    </row>
    <row r="99" ht="15" customHeight="1" s="34">
      <c r="A99" s="57" t="inlineStr">
        <is>
          <t>CMD-2025-0098</t>
        </is>
      </c>
      <c r="B99" s="57" t="inlineStr">
        <is>
          <t>PO-MOE-49136</t>
        </is>
      </c>
      <c r="C99" s="58" t="n">
        <v>45803</v>
      </c>
      <c r="D99" s="57" t="inlineStr">
        <is>
          <t>E008</t>
        </is>
      </c>
      <c r="E99" s="57">
        <f>IFERROR(INDEX(Entreprises!$B$2:$B$3000,MATCH(D99,Entreprises!$A$2:$A$3000,0)),"")</f>
        <v/>
      </c>
      <c r="F99" s="57" t="inlineStr">
        <is>
          <t>P005</t>
        </is>
      </c>
      <c r="G99" s="57">
        <f>IFERROR(INDEX(Produits!$C$2:$C$3000,MATCH(F99,Produits!$A$2:$A$3000,0)),"")</f>
        <v/>
      </c>
      <c r="H99" s="60" t="n">
        <v>37</v>
      </c>
      <c r="I99" s="59">
        <f>IFERROR(INDEX(Produits!$G$2:$G$3000,MATCH(F99,Produits!$A$2:$A$3000,0)),"")</f>
        <v/>
      </c>
      <c r="J99" s="62" t="n">
        <v>0.05</v>
      </c>
      <c r="K99" s="59">
        <f>IF(OR(H99="",I99=""),"",ROUND(H99*I99*(1-J99),2))</f>
        <v/>
      </c>
      <c r="L99" s="58" t="n">
        <v>45817</v>
      </c>
      <c r="M99" s="58" t="n">
        <v>45817</v>
      </c>
      <c r="N99" s="60">
        <f>IF(M99="","",MAX(0,M99-L99))</f>
        <v/>
      </c>
      <c r="O99" s="57" t="inlineStr">
        <is>
          <t>Facturée</t>
        </is>
      </c>
      <c r="P99" s="57" t="inlineStr">
        <is>
          <t>U003</t>
        </is>
      </c>
    </row>
    <row r="100" ht="15" customHeight="1" s="34">
      <c r="A100" s="57" t="inlineStr">
        <is>
          <t>CMD-2025-0099</t>
        </is>
      </c>
      <c r="B100" s="57" t="inlineStr">
        <is>
          <t>PO-BIO-44321</t>
        </is>
      </c>
      <c r="C100" s="58" t="n">
        <v>45804</v>
      </c>
      <c r="D100" s="57" t="inlineStr">
        <is>
          <t>E012</t>
        </is>
      </c>
      <c r="E100" s="57">
        <f>IFERROR(INDEX(Entreprises!$B$2:$B$3000,MATCH(D100,Entreprises!$A$2:$A$3000,0)),"")</f>
        <v/>
      </c>
      <c r="F100" s="57" t="inlineStr">
        <is>
          <t>P001</t>
        </is>
      </c>
      <c r="G100" s="57">
        <f>IFERROR(INDEX(Produits!$C$2:$C$3000,MATCH(F100,Produits!$A$2:$A$3000,0)),"")</f>
        <v/>
      </c>
      <c r="H100" s="60" t="n">
        <v>177</v>
      </c>
      <c r="I100" s="59">
        <f>IFERROR(INDEX(Produits!$G$2:$G$3000,MATCH(F100,Produits!$A$2:$A$3000,0)),"")</f>
        <v/>
      </c>
      <c r="J100" s="62" t="n">
        <v>0.07000000000000001</v>
      </c>
      <c r="K100" s="59">
        <f>IF(OR(H100="",I100=""),"",ROUND(H100*I100*(1-J100),2))</f>
        <v/>
      </c>
      <c r="L100" s="58" t="n">
        <v>45818</v>
      </c>
      <c r="M100" s="58" t="n">
        <v>45820</v>
      </c>
      <c r="N100" s="60">
        <f>IF(M100="","",MAX(0,M100-L100))</f>
        <v/>
      </c>
      <c r="O100" s="57" t="inlineStr">
        <is>
          <t>Facturée</t>
        </is>
      </c>
      <c r="P100" s="57" t="inlineStr">
        <is>
          <t>U004</t>
        </is>
      </c>
    </row>
    <row r="101" ht="15" customHeight="1" s="34">
      <c r="A101" s="57" t="inlineStr">
        <is>
          <t>CMD-2025-0100</t>
        </is>
      </c>
      <c r="B101" s="57" t="inlineStr">
        <is>
          <t>PO-REM-41320</t>
        </is>
      </c>
      <c r="C101" s="58" t="n">
        <v>45805</v>
      </c>
      <c r="D101" s="57" t="inlineStr">
        <is>
          <t>E017</t>
        </is>
      </c>
      <c r="E101" s="57">
        <f>IFERROR(INDEX(Entreprises!$B$2:$B$3000,MATCH(D101,Entreprises!$A$2:$A$3000,0)),"")</f>
        <v/>
      </c>
      <c r="F101" s="57" t="inlineStr">
        <is>
          <t>P006</t>
        </is>
      </c>
      <c r="G101" s="57">
        <f>IFERROR(INDEX(Produits!$C$2:$C$3000,MATCH(F101,Produits!$A$2:$A$3000,0)),"")</f>
        <v/>
      </c>
      <c r="H101" s="60" t="n">
        <v>28</v>
      </c>
      <c r="I101" s="59">
        <f>IFERROR(INDEX(Produits!$G$2:$G$3000,MATCH(F101,Produits!$A$2:$A$3000,0)),"")</f>
        <v/>
      </c>
      <c r="J101" s="62" t="n">
        <v>0.06</v>
      </c>
      <c r="K101" s="59">
        <f>IF(OR(H101="",I101=""),"",ROUND(H101*I101*(1-J101),2))</f>
        <v/>
      </c>
      <c r="L101" s="58" t="n">
        <v>45819</v>
      </c>
      <c r="M101" s="58" t="n">
        <v>45819</v>
      </c>
      <c r="N101" s="60">
        <f>IF(M101="","",MAX(0,M101-L101))</f>
        <v/>
      </c>
      <c r="O101" s="57" t="inlineStr">
        <is>
          <t>Facturée</t>
        </is>
      </c>
      <c r="P101" s="57" t="inlineStr">
        <is>
          <t>U005</t>
        </is>
      </c>
    </row>
    <row r="102" ht="15" customHeight="1" s="34">
      <c r="A102" s="57" t="inlineStr">
        <is>
          <t>CMD-2025-0101</t>
        </is>
      </c>
      <c r="B102" s="57" t="inlineStr">
        <is>
          <t>PO-BOI-23303</t>
        </is>
      </c>
      <c r="C102" s="58" t="n">
        <v>45810</v>
      </c>
      <c r="D102" s="57" t="inlineStr">
        <is>
          <t>E013</t>
        </is>
      </c>
      <c r="E102" s="57">
        <f>IFERROR(INDEX(Entreprises!$B$2:$B$3000,MATCH(D102,Entreprises!$A$2:$A$3000,0)),"")</f>
        <v/>
      </c>
      <c r="F102" s="57" t="inlineStr">
        <is>
          <t>P001</t>
        </is>
      </c>
      <c r="G102" s="57">
        <f>IFERROR(INDEX(Produits!$C$2:$C$3000,MATCH(F102,Produits!$A$2:$A$3000,0)),"")</f>
        <v/>
      </c>
      <c r="H102" s="60" t="n">
        <v>71</v>
      </c>
      <c r="I102" s="59">
        <f>IFERROR(INDEX(Produits!$G$2:$G$3000,MATCH(F102,Produits!$A$2:$A$3000,0)),"")</f>
        <v/>
      </c>
      <c r="J102" s="62" t="n">
        <v>0.04</v>
      </c>
      <c r="K102" s="59">
        <f>IF(OR(H102="",I102=""),"",ROUND(H102*I102*(1-J102),2))</f>
        <v/>
      </c>
      <c r="L102" s="58" t="n">
        <v>45824</v>
      </c>
      <c r="M102" s="58" t="n">
        <v>45825</v>
      </c>
      <c r="N102" s="60">
        <f>IF(M102="","",MAX(0,M102-L102))</f>
        <v/>
      </c>
      <c r="O102" s="57" t="inlineStr">
        <is>
          <t>Facturée</t>
        </is>
      </c>
      <c r="P102" s="57" t="inlineStr">
        <is>
          <t>U004</t>
        </is>
      </c>
    </row>
    <row r="103" ht="15" customHeight="1" s="34">
      <c r="A103" s="57" t="inlineStr">
        <is>
          <t>CMD-2025-0102</t>
        </is>
      </c>
      <c r="B103" s="57" t="inlineStr">
        <is>
          <t>PO-LOR-16733</t>
        </is>
      </c>
      <c r="C103" s="58" t="n">
        <v>45810</v>
      </c>
      <c r="D103" s="57" t="inlineStr">
        <is>
          <t>E027</t>
        </is>
      </c>
      <c r="E103" s="57">
        <f>IFERROR(INDEX(Entreprises!$B$2:$B$3000,MATCH(D103,Entreprises!$A$2:$A$3000,0)),"")</f>
        <v/>
      </c>
      <c r="F103" s="57" t="inlineStr">
        <is>
          <t>P008</t>
        </is>
      </c>
      <c r="G103" s="57">
        <f>IFERROR(INDEX(Produits!$C$2:$C$3000,MATCH(F103,Produits!$A$2:$A$3000,0)),"")</f>
        <v/>
      </c>
      <c r="H103" s="60" t="n">
        <v>195</v>
      </c>
      <c r="I103" s="59">
        <f>IFERROR(INDEX(Produits!$G$2:$G$3000,MATCH(F103,Produits!$A$2:$A$3000,0)),"")</f>
        <v/>
      </c>
      <c r="J103" s="62" t="n">
        <v>0.06</v>
      </c>
      <c r="K103" s="59">
        <f>IF(OR(H103="",I103=""),"",ROUND(H103*I103*(1-J103),2))</f>
        <v/>
      </c>
      <c r="L103" s="58" t="n">
        <v>45824</v>
      </c>
      <c r="M103" s="58" t="n">
        <v>45825</v>
      </c>
      <c r="N103" s="60">
        <f>IF(M103="","",MAX(0,M103-L103))</f>
        <v/>
      </c>
      <c r="O103" s="57" t="inlineStr">
        <is>
          <t>Facturée</t>
        </is>
      </c>
      <c r="P103" s="57" t="inlineStr">
        <is>
          <t>U007</t>
        </is>
      </c>
    </row>
    <row r="104" ht="15" customHeight="1" s="34">
      <c r="A104" s="57" t="inlineStr">
        <is>
          <t>CMD-2025-0103</t>
        </is>
      </c>
      <c r="B104" s="57" t="inlineStr">
        <is>
          <t>PO-SAN-56812</t>
        </is>
      </c>
      <c r="C104" s="58" t="n">
        <v>45817</v>
      </c>
      <c r="D104" s="57" t="inlineStr">
        <is>
          <t>E022</t>
        </is>
      </c>
      <c r="E104" s="57">
        <f>IFERROR(INDEX(Entreprises!$B$2:$B$3000,MATCH(D104,Entreprises!$A$2:$A$3000,0)),"")</f>
        <v/>
      </c>
      <c r="F104" s="57" t="inlineStr">
        <is>
          <t>P004</t>
        </is>
      </c>
      <c r="G104" s="57">
        <f>IFERROR(INDEX(Produits!$C$2:$C$3000,MATCH(F104,Produits!$A$2:$A$3000,0)),"")</f>
        <v/>
      </c>
      <c r="H104" s="60" t="n">
        <v>291</v>
      </c>
      <c r="I104" s="59">
        <f>IFERROR(INDEX(Produits!$G$2:$G$3000,MATCH(F104,Produits!$A$2:$A$3000,0)),"")</f>
        <v/>
      </c>
      <c r="J104" s="62" t="n">
        <v>0.05</v>
      </c>
      <c r="K104" s="59">
        <f>IF(OR(H104="",I104=""),"",ROUND(H104*I104*(1-J104),2))</f>
        <v/>
      </c>
      <c r="L104" s="58" t="n">
        <v>45831</v>
      </c>
      <c r="M104" s="58" t="n">
        <v>45834</v>
      </c>
      <c r="N104" s="60">
        <f>IF(M104="","",MAX(0,M104-L104))</f>
        <v/>
      </c>
      <c r="O104" s="57" t="inlineStr">
        <is>
          <t>Facturée</t>
        </is>
      </c>
      <c r="P104" s="57" t="inlineStr">
        <is>
          <t>U006</t>
        </is>
      </c>
    </row>
    <row r="105" ht="15" customHeight="1" s="34">
      <c r="A105" s="57" t="inlineStr">
        <is>
          <t>CMD-2025-0104</t>
        </is>
      </c>
      <c r="B105" s="57" t="inlineStr">
        <is>
          <t>PO-LEG-33013</t>
        </is>
      </c>
      <c r="C105" s="58" t="n">
        <v>45824</v>
      </c>
      <c r="D105" s="57" t="inlineStr">
        <is>
          <t>E021</t>
        </is>
      </c>
      <c r="E105" s="57">
        <f>IFERROR(INDEX(Entreprises!$B$2:$B$3000,MATCH(D105,Entreprises!$A$2:$A$3000,0)),"")</f>
        <v/>
      </c>
      <c r="F105" s="57" t="inlineStr">
        <is>
          <t>P010</t>
        </is>
      </c>
      <c r="G105" s="57">
        <f>IFERROR(INDEX(Produits!$C$2:$C$3000,MATCH(F105,Produits!$A$2:$A$3000,0)),"")</f>
        <v/>
      </c>
      <c r="H105" s="60" t="n">
        <v>1</v>
      </c>
      <c r="I105" s="59">
        <f>IFERROR(INDEX(Produits!$G$2:$G$3000,MATCH(F105,Produits!$A$2:$A$3000,0)),"")</f>
        <v/>
      </c>
      <c r="J105" s="62" t="n">
        <v>0</v>
      </c>
      <c r="K105" s="59">
        <f>IF(OR(H105="",I105=""),"",ROUND(H105*I105*(1-J105),2))</f>
        <v/>
      </c>
      <c r="L105" s="58" t="n">
        <v>45884</v>
      </c>
      <c r="M105" s="58" t="n">
        <v>45887</v>
      </c>
      <c r="N105" s="60">
        <f>IF(M105="","",MAX(0,M105-L105))</f>
        <v/>
      </c>
      <c r="O105" s="57" t="inlineStr">
        <is>
          <t>Facturée</t>
        </is>
      </c>
      <c r="P105" s="57" t="inlineStr">
        <is>
          <t>U005</t>
        </is>
      </c>
    </row>
    <row r="106" ht="15" customHeight="1" s="34">
      <c r="A106" s="57" t="inlineStr">
        <is>
          <t>CMD-2025-0105</t>
        </is>
      </c>
      <c r="B106" s="57" t="inlineStr">
        <is>
          <t>PO-LEG-14942</t>
        </is>
      </c>
      <c r="C106" s="58" t="n">
        <v>45824</v>
      </c>
      <c r="D106" s="57" t="inlineStr">
        <is>
          <t>E021</t>
        </is>
      </c>
      <c r="E106" s="57">
        <f>IFERROR(INDEX(Entreprises!$B$2:$B$3000,MATCH(D106,Entreprises!$A$2:$A$3000,0)),"")</f>
        <v/>
      </c>
      <c r="F106" s="57" t="inlineStr">
        <is>
          <t>P012</t>
        </is>
      </c>
      <c r="G106" s="57">
        <f>IFERROR(INDEX(Produits!$C$2:$C$3000,MATCH(F106,Produits!$A$2:$A$3000,0)),"")</f>
        <v/>
      </c>
      <c r="H106" s="60" t="n">
        <v>1</v>
      </c>
      <c r="I106" s="59">
        <f>IFERROR(INDEX(Produits!$G$2:$G$3000,MATCH(F106,Produits!$A$2:$A$3000,0)),"")</f>
        <v/>
      </c>
      <c r="J106" s="62" t="n">
        <v>0</v>
      </c>
      <c r="K106" s="59">
        <f>IF(OR(H106="",I106=""),"",ROUND(H106*I106*(1-J106),2))</f>
        <v/>
      </c>
      <c r="L106" s="58" t="n">
        <v>45884</v>
      </c>
      <c r="M106" s="58" t="n">
        <v>45887</v>
      </c>
      <c r="N106" s="60">
        <f>IF(M106="","",MAX(0,M106-L106))</f>
        <v/>
      </c>
      <c r="O106" s="57" t="inlineStr">
        <is>
          <t>Facturée</t>
        </is>
      </c>
      <c r="P106" s="57" t="inlineStr">
        <is>
          <t>U005</t>
        </is>
      </c>
    </row>
    <row r="107" ht="15" customHeight="1" s="34">
      <c r="A107" s="57" t="inlineStr">
        <is>
          <t>CMD-2025-0106</t>
        </is>
      </c>
      <c r="B107" s="57" t="inlineStr">
        <is>
          <t>PO-PER-84848</t>
        </is>
      </c>
      <c r="C107" s="58" t="n">
        <v>45824</v>
      </c>
      <c r="D107" s="57" t="inlineStr">
        <is>
          <t>E025</t>
        </is>
      </c>
      <c r="E107" s="57">
        <f>IFERROR(INDEX(Entreprises!$B$2:$B$3000,MATCH(D107,Entreprises!$A$2:$A$3000,0)),"")</f>
        <v/>
      </c>
      <c r="F107" s="57" t="inlineStr">
        <is>
          <t>P005</t>
        </is>
      </c>
      <c r="G107" s="57">
        <f>IFERROR(INDEX(Produits!$C$2:$C$3000,MATCH(F107,Produits!$A$2:$A$3000,0)),"")</f>
        <v/>
      </c>
      <c r="H107" s="60" t="n">
        <v>67</v>
      </c>
      <c r="I107" s="59">
        <f>IFERROR(INDEX(Produits!$G$2:$G$3000,MATCH(F107,Produits!$A$2:$A$3000,0)),"")</f>
        <v/>
      </c>
      <c r="J107" s="62" t="n">
        <v>0.07000000000000001</v>
      </c>
      <c r="K107" s="59">
        <f>IF(OR(H107="",I107=""),"",ROUND(H107*I107*(1-J107),2))</f>
        <v/>
      </c>
      <c r="L107" s="58" t="n">
        <v>45838</v>
      </c>
      <c r="M107" s="58" t="n">
        <v>45838</v>
      </c>
      <c r="N107" s="60">
        <f>IF(M107="","",MAX(0,M107-L107))</f>
        <v/>
      </c>
      <c r="O107" s="57" t="inlineStr">
        <is>
          <t>Facturée</t>
        </is>
      </c>
      <c r="P107" s="57" t="inlineStr">
        <is>
          <t>U007</t>
        </is>
      </c>
    </row>
    <row r="108" ht="15" customHeight="1" s="34">
      <c r="A108" s="57" t="inlineStr">
        <is>
          <t>CMD-2025-0107</t>
        </is>
      </c>
      <c r="B108" s="57" t="inlineStr">
        <is>
          <t>PO-SCH-30144</t>
        </is>
      </c>
      <c r="C108" s="58" t="n">
        <v>45825</v>
      </c>
      <c r="D108" s="57" t="inlineStr">
        <is>
          <t>E030</t>
        </is>
      </c>
      <c r="E108" s="57">
        <f>IFERROR(INDEX(Entreprises!$B$2:$B$3000,MATCH(D108,Entreprises!$A$2:$A$3000,0)),"")</f>
        <v/>
      </c>
      <c r="F108" s="57" t="inlineStr">
        <is>
          <t>P007</t>
        </is>
      </c>
      <c r="G108" s="57">
        <f>IFERROR(INDEX(Produits!$C$2:$C$3000,MATCH(F108,Produits!$A$2:$A$3000,0)),"")</f>
        <v/>
      </c>
      <c r="H108" s="60" t="n">
        <v>88</v>
      </c>
      <c r="I108" s="59">
        <f>IFERROR(INDEX(Produits!$G$2:$G$3000,MATCH(F108,Produits!$A$2:$A$3000,0)),"")</f>
        <v/>
      </c>
      <c r="J108" s="62" t="n">
        <v>0.07000000000000001</v>
      </c>
      <c r="K108" s="59">
        <f>IF(OR(H108="",I108=""),"",ROUND(H108*I108*(1-J108),2))</f>
        <v/>
      </c>
      <c r="L108" s="58" t="n">
        <v>45839</v>
      </c>
      <c r="M108" s="58" t="n">
        <v>45839</v>
      </c>
      <c r="N108" s="60">
        <f>IF(M108="","",MAX(0,M108-L108))</f>
        <v/>
      </c>
      <c r="O108" s="57" t="inlineStr">
        <is>
          <t>Facturée</t>
        </is>
      </c>
      <c r="P108" s="57" t="inlineStr">
        <is>
          <t>U007</t>
        </is>
      </c>
    </row>
    <row r="109" ht="15" customHeight="1" s="34">
      <c r="A109" s="57" t="inlineStr">
        <is>
          <t>CMD-2025-0108</t>
        </is>
      </c>
      <c r="B109" s="57" t="inlineStr">
        <is>
          <t>PO-SAV-60192</t>
        </is>
      </c>
      <c r="C109" s="58" t="n">
        <v>45826</v>
      </c>
      <c r="D109" s="57" t="inlineStr">
        <is>
          <t>E028</t>
        </is>
      </c>
      <c r="E109" s="57">
        <f>IFERROR(INDEX(Entreprises!$B$2:$B$3000,MATCH(D109,Entreprises!$A$2:$A$3000,0)),"")</f>
        <v/>
      </c>
      <c r="F109" s="57" t="inlineStr">
        <is>
          <t>P007</t>
        </is>
      </c>
      <c r="G109" s="57">
        <f>IFERROR(INDEX(Produits!$C$2:$C$3000,MATCH(F109,Produits!$A$2:$A$3000,0)),"")</f>
        <v/>
      </c>
      <c r="H109" s="60" t="n">
        <v>57</v>
      </c>
      <c r="I109" s="59">
        <f>IFERROR(INDEX(Produits!$G$2:$G$3000,MATCH(F109,Produits!$A$2:$A$3000,0)),"")</f>
        <v/>
      </c>
      <c r="J109" s="62" t="n">
        <v>0.05</v>
      </c>
      <c r="K109" s="59">
        <f>IF(OR(H109="",I109=""),"",ROUND(H109*I109*(1-J109),2))</f>
        <v/>
      </c>
      <c r="L109" s="58" t="n">
        <v>45840</v>
      </c>
      <c r="M109" s="58" t="n">
        <v>45840</v>
      </c>
      <c r="N109" s="60">
        <f>IF(M109="","",MAX(0,M109-L109))</f>
        <v/>
      </c>
      <c r="O109" s="57" t="inlineStr">
        <is>
          <t>Facturée</t>
        </is>
      </c>
      <c r="P109" s="57" t="inlineStr">
        <is>
          <t>U007</t>
        </is>
      </c>
    </row>
    <row r="110" ht="15" customHeight="1" s="34">
      <c r="A110" s="57" t="inlineStr">
        <is>
          <t>CMD-2025-0109</t>
        </is>
      </c>
      <c r="B110" s="57" t="inlineStr">
        <is>
          <t>PO-GUE-21182</t>
        </is>
      </c>
      <c r="C110" s="58" t="n">
        <v>45831</v>
      </c>
      <c r="D110" s="57" t="inlineStr">
        <is>
          <t>E003</t>
        </is>
      </c>
      <c r="E110" s="57">
        <f>IFERROR(INDEX(Entreprises!$B$2:$B$3000,MATCH(D110,Entreprises!$A$2:$A$3000,0)),"")</f>
        <v/>
      </c>
      <c r="F110" s="57" t="inlineStr">
        <is>
          <t>P002</t>
        </is>
      </c>
      <c r="G110" s="57">
        <f>IFERROR(INDEX(Produits!$C$2:$C$3000,MATCH(F110,Produits!$A$2:$A$3000,0)),"")</f>
        <v/>
      </c>
      <c r="H110" s="60" t="n">
        <v>246</v>
      </c>
      <c r="I110" s="59">
        <f>IFERROR(INDEX(Produits!$G$2:$G$3000,MATCH(F110,Produits!$A$2:$A$3000,0)),"")</f>
        <v/>
      </c>
      <c r="J110" s="62" t="n">
        <v>0.05</v>
      </c>
      <c r="K110" s="59">
        <f>IF(OR(H110="",I110=""),"",ROUND(H110*I110*(1-J110),2))</f>
        <v/>
      </c>
      <c r="L110" s="58" t="n">
        <v>45845</v>
      </c>
      <c r="M110" s="58" t="n">
        <v>45845</v>
      </c>
      <c r="N110" s="60">
        <f>IF(M110="","",MAX(0,M110-L110))</f>
        <v/>
      </c>
      <c r="O110" s="57" t="inlineStr">
        <is>
          <t>Facturée</t>
        </is>
      </c>
      <c r="P110" s="57" t="inlineStr">
        <is>
          <t>U002</t>
        </is>
      </c>
    </row>
    <row r="111" ht="15" customHeight="1" s="34">
      <c r="A111" s="57" t="inlineStr">
        <is>
          <t>CMD-2025-0110</t>
        </is>
      </c>
      <c r="B111" s="57" t="inlineStr">
        <is>
          <t>PO-LEG-34925</t>
        </is>
      </c>
      <c r="C111" s="58" t="n">
        <v>45833</v>
      </c>
      <c r="D111" s="57" t="inlineStr">
        <is>
          <t>E021</t>
        </is>
      </c>
      <c r="E111" s="57">
        <f>IFERROR(INDEX(Entreprises!$B$2:$B$3000,MATCH(D111,Entreprises!$A$2:$A$3000,0)),"")</f>
        <v/>
      </c>
      <c r="F111" s="57" t="inlineStr">
        <is>
          <t>P008</t>
        </is>
      </c>
      <c r="G111" s="57">
        <f>IFERROR(INDEX(Produits!$C$2:$C$3000,MATCH(F111,Produits!$A$2:$A$3000,0)),"")</f>
        <v/>
      </c>
      <c r="H111" s="60" t="n">
        <v>77</v>
      </c>
      <c r="I111" s="59">
        <f>IFERROR(INDEX(Produits!$G$2:$G$3000,MATCH(F111,Produits!$A$2:$A$3000,0)),"")</f>
        <v/>
      </c>
      <c r="J111" s="62" t="n">
        <v>0.05</v>
      </c>
      <c r="K111" s="59">
        <f>IF(OR(H111="",I111=""),"",ROUND(H111*I111*(1-J111),2))</f>
        <v/>
      </c>
      <c r="L111" s="58" t="n">
        <v>45847</v>
      </c>
      <c r="M111" s="58" t="n">
        <v>45846</v>
      </c>
      <c r="N111" s="60">
        <f>IF(M111="","",MAX(0,M111-L111))</f>
        <v/>
      </c>
      <c r="O111" s="57" t="inlineStr">
        <is>
          <t>Facturée</t>
        </is>
      </c>
      <c r="P111" s="57" t="inlineStr">
        <is>
          <t>U005</t>
        </is>
      </c>
    </row>
    <row r="112" ht="15" customHeight="1" s="34">
      <c r="A112" s="57" t="inlineStr">
        <is>
          <t>CMD-2025-0111</t>
        </is>
      </c>
      <c r="B112" s="57" t="inlineStr">
        <is>
          <t>PO-IPS-64516</t>
        </is>
      </c>
      <c r="C112" s="58" t="n">
        <v>45833</v>
      </c>
      <c r="D112" s="57" t="inlineStr">
        <is>
          <t>E023</t>
        </is>
      </c>
      <c r="E112" s="57">
        <f>IFERROR(INDEX(Entreprises!$B$2:$B$3000,MATCH(D112,Entreprises!$A$2:$A$3000,0)),"")</f>
        <v/>
      </c>
      <c r="F112" s="57" t="inlineStr">
        <is>
          <t>P004</t>
        </is>
      </c>
      <c r="G112" s="57">
        <f>IFERROR(INDEX(Produits!$C$2:$C$3000,MATCH(F112,Produits!$A$2:$A$3000,0)),"")</f>
        <v/>
      </c>
      <c r="H112" s="60" t="n">
        <v>61</v>
      </c>
      <c r="I112" s="59">
        <f>IFERROR(INDEX(Produits!$G$2:$G$3000,MATCH(F112,Produits!$A$2:$A$3000,0)),"")</f>
        <v/>
      </c>
      <c r="J112" s="62" t="n">
        <v>0.07000000000000001</v>
      </c>
      <c r="K112" s="59">
        <f>IF(OR(H112="",I112=""),"",ROUND(H112*I112*(1-J112),2))</f>
        <v/>
      </c>
      <c r="L112" s="58" t="n">
        <v>45847</v>
      </c>
      <c r="M112" s="58" t="n">
        <v>45847</v>
      </c>
      <c r="N112" s="60">
        <f>IF(M112="","",MAX(0,M112-L112))</f>
        <v/>
      </c>
      <c r="O112" s="57" t="inlineStr">
        <is>
          <t>Facturée</t>
        </is>
      </c>
      <c r="P112" s="57" t="inlineStr">
        <is>
          <t>U006</t>
        </is>
      </c>
    </row>
    <row r="113" ht="15" customHeight="1" s="34">
      <c r="A113" s="57" t="inlineStr">
        <is>
          <t>CMD-2025-0112</t>
        </is>
      </c>
      <c r="B113" s="57" t="inlineStr">
        <is>
          <t>PO-NEX-44019</t>
        </is>
      </c>
      <c r="C113" s="58" t="n">
        <v>45835</v>
      </c>
      <c r="D113" s="57" t="inlineStr">
        <is>
          <t>E007</t>
        </is>
      </c>
      <c r="E113" s="57">
        <f>IFERROR(INDEX(Entreprises!$B$2:$B$3000,MATCH(D113,Entreprises!$A$2:$A$3000,0)),"")</f>
        <v/>
      </c>
      <c r="F113" s="57" t="inlineStr">
        <is>
          <t>P007</t>
        </is>
      </c>
      <c r="G113" s="57">
        <f>IFERROR(INDEX(Produits!$C$2:$C$3000,MATCH(F113,Produits!$A$2:$A$3000,0)),"")</f>
        <v/>
      </c>
      <c r="H113" s="60" t="n">
        <v>30</v>
      </c>
      <c r="I113" s="59">
        <f>IFERROR(INDEX(Produits!$G$2:$G$3000,MATCH(F113,Produits!$A$2:$A$3000,0)),"")</f>
        <v/>
      </c>
      <c r="J113" s="62" t="n">
        <v>0.08</v>
      </c>
      <c r="K113" s="59">
        <f>IF(OR(H113="",I113=""),"",ROUND(H113*I113*(1-J113),2))</f>
        <v/>
      </c>
      <c r="L113" s="58" t="n">
        <v>45849</v>
      </c>
      <c r="M113" s="58" t="n">
        <v>45852</v>
      </c>
      <c r="N113" s="60">
        <f>IF(M113="","",MAX(0,M113-L113))</f>
        <v/>
      </c>
      <c r="O113" s="57" t="inlineStr">
        <is>
          <t>Facturée</t>
        </is>
      </c>
      <c r="P113" s="57" t="inlineStr">
        <is>
          <t>U002</t>
        </is>
      </c>
    </row>
    <row r="114" ht="15" customHeight="1" s="34">
      <c r="A114" s="57" t="inlineStr">
        <is>
          <t>CMD-2025-0113</t>
        </is>
      </c>
      <c r="B114" s="57" t="inlineStr">
        <is>
          <t>PO-LAU-45631</t>
        </is>
      </c>
      <c r="C114" s="58" t="n">
        <v>45838</v>
      </c>
      <c r="D114" s="57" t="inlineStr">
        <is>
          <t>E009</t>
        </is>
      </c>
      <c r="E114" s="57">
        <f>IFERROR(INDEX(Entreprises!$B$2:$B$3000,MATCH(D114,Entreprises!$A$2:$A$3000,0)),"")</f>
        <v/>
      </c>
      <c r="F114" s="57" t="inlineStr">
        <is>
          <t>P007</t>
        </is>
      </c>
      <c r="G114" s="57">
        <f>IFERROR(INDEX(Produits!$C$2:$C$3000,MATCH(F114,Produits!$A$2:$A$3000,0)),"")</f>
        <v/>
      </c>
      <c r="H114" s="60" t="n">
        <v>26</v>
      </c>
      <c r="I114" s="59">
        <f>IFERROR(INDEX(Produits!$G$2:$G$3000,MATCH(F114,Produits!$A$2:$A$3000,0)),"")</f>
        <v/>
      </c>
      <c r="J114" s="62" t="n">
        <v>0.03</v>
      </c>
      <c r="K114" s="59">
        <f>IF(OR(H114="",I114=""),"",ROUND(H114*I114*(1-J114),2))</f>
        <v/>
      </c>
      <c r="L114" s="58" t="n">
        <v>45852</v>
      </c>
      <c r="M114" s="58" t="n">
        <v>45852</v>
      </c>
      <c r="N114" s="60">
        <f>IF(M114="","",MAX(0,M114-L114))</f>
        <v/>
      </c>
      <c r="O114" s="57" t="inlineStr">
        <is>
          <t>Facturée</t>
        </is>
      </c>
      <c r="P114" s="57" t="inlineStr">
        <is>
          <t>U003</t>
        </is>
      </c>
    </row>
    <row r="115" ht="15" customHeight="1" s="34">
      <c r="A115" s="57" t="inlineStr">
        <is>
          <t>CMD-2025-0114</t>
        </is>
      </c>
      <c r="B115" s="57" t="inlineStr">
        <is>
          <t>PO-SEB-53572</t>
        </is>
      </c>
      <c r="C115" s="58" t="n">
        <v>45840</v>
      </c>
      <c r="D115" s="57" t="inlineStr">
        <is>
          <t>E014</t>
        </is>
      </c>
      <c r="E115" s="57">
        <f>IFERROR(INDEX(Entreprises!$B$2:$B$3000,MATCH(D115,Entreprises!$A$2:$A$3000,0)),"")</f>
        <v/>
      </c>
      <c r="F115" s="57" t="inlineStr">
        <is>
          <t>P008</t>
        </is>
      </c>
      <c r="G115" s="57">
        <f>IFERROR(INDEX(Produits!$C$2:$C$3000,MATCH(F115,Produits!$A$2:$A$3000,0)),"")</f>
        <v/>
      </c>
      <c r="H115" s="60" t="n">
        <v>145</v>
      </c>
      <c r="I115" s="59">
        <f>IFERROR(INDEX(Produits!$G$2:$G$3000,MATCH(F115,Produits!$A$2:$A$3000,0)),"")</f>
        <v/>
      </c>
      <c r="J115" s="62" t="n">
        <v>0.05</v>
      </c>
      <c r="K115" s="59">
        <f>IF(OR(H115="",I115=""),"",ROUND(H115*I115*(1-J115),2))</f>
        <v/>
      </c>
      <c r="L115" s="58" t="n">
        <v>45854</v>
      </c>
      <c r="M115" s="58" t="n">
        <v>45854</v>
      </c>
      <c r="N115" s="60">
        <f>IF(M115="","",MAX(0,M115-L115))</f>
        <v/>
      </c>
      <c r="O115" s="57" t="inlineStr">
        <is>
          <t>Facturée</t>
        </is>
      </c>
      <c r="P115" s="57" t="inlineStr">
        <is>
          <t>U004</t>
        </is>
      </c>
    </row>
    <row r="116" ht="15" customHeight="1" s="34">
      <c r="A116" s="57" t="inlineStr">
        <is>
          <t>CMD-2025-0115</t>
        </is>
      </c>
      <c r="B116" s="57" t="inlineStr">
        <is>
          <t>PO-DAN-35142</t>
        </is>
      </c>
      <c r="C116" s="58" t="n">
        <v>45840</v>
      </c>
      <c r="D116" s="57" t="inlineStr">
        <is>
          <t>E026</t>
        </is>
      </c>
      <c r="E116" s="57">
        <f>IFERROR(INDEX(Entreprises!$B$2:$B$3000,MATCH(D116,Entreprises!$A$2:$A$3000,0)),"")</f>
        <v/>
      </c>
      <c r="F116" s="57" t="inlineStr">
        <is>
          <t>P007</t>
        </is>
      </c>
      <c r="G116" s="57">
        <f>IFERROR(INDEX(Produits!$C$2:$C$3000,MATCH(F116,Produits!$A$2:$A$3000,0)),"")</f>
        <v/>
      </c>
      <c r="H116" s="60" t="n">
        <v>92</v>
      </c>
      <c r="I116" s="59">
        <f>IFERROR(INDEX(Produits!$G$2:$G$3000,MATCH(F116,Produits!$A$2:$A$3000,0)),"")</f>
        <v/>
      </c>
      <c r="J116" s="62" t="n">
        <v>0.07000000000000001</v>
      </c>
      <c r="K116" s="59">
        <f>IF(OR(H116="",I116=""),"",ROUND(H116*I116*(1-J116),2))</f>
        <v/>
      </c>
      <c r="L116" s="58" t="n">
        <v>45854</v>
      </c>
      <c r="M116" s="58" t="n">
        <v>45854</v>
      </c>
      <c r="N116" s="60">
        <f>IF(M116="","",MAX(0,M116-L116))</f>
        <v/>
      </c>
      <c r="O116" s="57" t="inlineStr">
        <is>
          <t>Facturée</t>
        </is>
      </c>
      <c r="P116" s="57" t="inlineStr">
        <is>
          <t>U007</t>
        </is>
      </c>
    </row>
    <row r="117" ht="15" customHeight="1" s="34">
      <c r="A117" s="57" t="inlineStr">
        <is>
          <t>CMD-2025-0116</t>
        </is>
      </c>
      <c r="B117" s="57" t="inlineStr">
        <is>
          <t>PO-LES-42819</t>
        </is>
      </c>
      <c r="C117" s="58" t="n">
        <v>45841</v>
      </c>
      <c r="D117" s="57" t="inlineStr">
        <is>
          <t>E002</t>
        </is>
      </c>
      <c r="E117" s="57">
        <f>IFERROR(INDEX(Entreprises!$B$2:$B$3000,MATCH(D117,Entreprises!$A$2:$A$3000,0)),"")</f>
        <v/>
      </c>
      <c r="F117" s="57" t="inlineStr">
        <is>
          <t>P007</t>
        </is>
      </c>
      <c r="G117" s="57">
        <f>IFERROR(INDEX(Produits!$C$2:$C$3000,MATCH(F117,Produits!$A$2:$A$3000,0)),"")</f>
        <v/>
      </c>
      <c r="H117" s="60" t="n">
        <v>64</v>
      </c>
      <c r="I117" s="59">
        <f>IFERROR(INDEX(Produits!$G$2:$G$3000,MATCH(F117,Produits!$A$2:$A$3000,0)),"")</f>
        <v/>
      </c>
      <c r="J117" s="62" t="n">
        <v>0.07000000000000001</v>
      </c>
      <c r="K117" s="59">
        <f>IF(OR(H117="",I117=""),"",ROUND(H117*I117*(1-J117),2))</f>
        <v/>
      </c>
      <c r="L117" s="58" t="n">
        <v>45855</v>
      </c>
      <c r="M117" s="58" t="n">
        <v>45853</v>
      </c>
      <c r="N117" s="60">
        <f>IF(M117="","",MAX(0,M117-L117))</f>
        <v/>
      </c>
      <c r="O117" s="57" t="inlineStr">
        <is>
          <t>Facturée</t>
        </is>
      </c>
      <c r="P117" s="57" t="inlineStr">
        <is>
          <t>U002</t>
        </is>
      </c>
    </row>
    <row r="118" ht="15" customHeight="1" s="34">
      <c r="A118" s="57" t="inlineStr">
        <is>
          <t>CMD-2025-0117</t>
        </is>
      </c>
      <c r="B118" s="57" t="inlineStr">
        <is>
          <t>PO-PIE-50771</t>
        </is>
      </c>
      <c r="C118" s="58" t="n">
        <v>45841</v>
      </c>
      <c r="D118" s="57" t="inlineStr">
        <is>
          <t>E019</t>
        </is>
      </c>
      <c r="E118" s="57">
        <f>IFERROR(INDEX(Entreprises!$B$2:$B$3000,MATCH(D118,Entreprises!$A$2:$A$3000,0)),"")</f>
        <v/>
      </c>
      <c r="F118" s="57" t="inlineStr">
        <is>
          <t>P001</t>
        </is>
      </c>
      <c r="G118" s="57">
        <f>IFERROR(INDEX(Produits!$C$2:$C$3000,MATCH(F118,Produits!$A$2:$A$3000,0)),"")</f>
        <v/>
      </c>
      <c r="H118" s="60" t="n">
        <v>215</v>
      </c>
      <c r="I118" s="59">
        <f>IFERROR(INDEX(Produits!$G$2:$G$3000,MATCH(F118,Produits!$A$2:$A$3000,0)),"")</f>
        <v/>
      </c>
      <c r="J118" s="62" t="n">
        <v>0.07000000000000001</v>
      </c>
      <c r="K118" s="59">
        <f>IF(OR(H118="",I118=""),"",ROUND(H118*I118*(1-J118),2))</f>
        <v/>
      </c>
      <c r="L118" s="58" t="n">
        <v>45855</v>
      </c>
      <c r="M118" s="58" t="n">
        <v>45855</v>
      </c>
      <c r="N118" s="60">
        <f>IF(M118="","",MAX(0,M118-L118))</f>
        <v/>
      </c>
      <c r="O118" s="57" t="inlineStr">
        <is>
          <t>Facturée</t>
        </is>
      </c>
      <c r="P118" s="57" t="inlineStr">
        <is>
          <t>U005</t>
        </is>
      </c>
    </row>
    <row r="119" ht="15" customHeight="1" s="34">
      <c r="A119" s="57" t="inlineStr">
        <is>
          <t>CMD-2025-0118</t>
        </is>
      </c>
      <c r="B119" s="57" t="inlineStr">
        <is>
          <t>PO-BON-24658</t>
        </is>
      </c>
      <c r="C119" s="58" t="n">
        <v>45846</v>
      </c>
      <c r="D119" s="57" t="inlineStr">
        <is>
          <t>E001</t>
        </is>
      </c>
      <c r="E119" s="57">
        <f>IFERROR(INDEX(Entreprises!$B$2:$B$3000,MATCH(D119,Entreprises!$A$2:$A$3000,0)),"")</f>
        <v/>
      </c>
      <c r="F119" s="57" t="inlineStr">
        <is>
          <t>P003</t>
        </is>
      </c>
      <c r="G119" s="57">
        <f>IFERROR(INDEX(Produits!$C$2:$C$3000,MATCH(F119,Produits!$A$2:$A$3000,0)),"")</f>
        <v/>
      </c>
      <c r="H119" s="60" t="n">
        <v>120</v>
      </c>
      <c r="I119" s="59">
        <f>IFERROR(INDEX(Produits!$G$2:$G$3000,MATCH(F119,Produits!$A$2:$A$3000,0)),"")</f>
        <v/>
      </c>
      <c r="J119" s="62" t="n">
        <v>0.05</v>
      </c>
      <c r="K119" s="59">
        <f>IF(OR(H119="",I119=""),"",ROUND(H119*I119*(1-J119),2))</f>
        <v/>
      </c>
      <c r="L119" s="58" t="n">
        <v>45860</v>
      </c>
      <c r="M119" s="58" t="n">
        <v>45860</v>
      </c>
      <c r="N119" s="60">
        <f>IF(M119="","",MAX(0,M119-L119))</f>
        <v/>
      </c>
      <c r="O119" s="57" t="inlineStr">
        <is>
          <t>Facturée</t>
        </is>
      </c>
      <c r="P119" s="57" t="inlineStr">
        <is>
          <t>U002</t>
        </is>
      </c>
    </row>
    <row r="120" ht="15" customHeight="1" s="34">
      <c r="A120" s="57" t="inlineStr">
        <is>
          <t>CMD-2025-0119</t>
        </is>
      </c>
      <c r="B120" s="57" t="inlineStr">
        <is>
          <t>PO-MOE-60266</t>
        </is>
      </c>
      <c r="C120" s="58" t="n">
        <v>45853</v>
      </c>
      <c r="D120" s="57" t="inlineStr">
        <is>
          <t>E008</t>
        </is>
      </c>
      <c r="E120" s="57">
        <f>IFERROR(INDEX(Entreprises!$B$2:$B$3000,MATCH(D120,Entreprises!$A$2:$A$3000,0)),"")</f>
        <v/>
      </c>
      <c r="F120" s="57" t="inlineStr">
        <is>
          <t>P006</t>
        </is>
      </c>
      <c r="G120" s="57">
        <f>IFERROR(INDEX(Produits!$C$2:$C$3000,MATCH(F120,Produits!$A$2:$A$3000,0)),"")</f>
        <v/>
      </c>
      <c r="H120" s="60" t="n">
        <v>44</v>
      </c>
      <c r="I120" s="59">
        <f>IFERROR(INDEX(Produits!$G$2:$G$3000,MATCH(F120,Produits!$A$2:$A$3000,0)),"")</f>
        <v/>
      </c>
      <c r="J120" s="62" t="n">
        <v>0.05</v>
      </c>
      <c r="K120" s="59">
        <f>IF(OR(H120="",I120=""),"",ROUND(H120*I120*(1-J120),2))</f>
        <v/>
      </c>
      <c r="L120" s="58" t="n">
        <v>45867</v>
      </c>
      <c r="M120" s="58" t="n">
        <v>45866</v>
      </c>
      <c r="N120" s="60">
        <f>IF(M120="","",MAX(0,M120-L120))</f>
        <v/>
      </c>
      <c r="O120" s="57" t="inlineStr">
        <is>
          <t>Facturée</t>
        </is>
      </c>
      <c r="P120" s="57" t="inlineStr">
        <is>
          <t>U003</t>
        </is>
      </c>
    </row>
    <row r="121" ht="15" customHeight="1" s="34">
      <c r="A121" s="57" t="inlineStr">
        <is>
          <t>CMD-2025-0120</t>
        </is>
      </c>
      <c r="B121" s="57" t="inlineStr">
        <is>
          <t>PO-BIO-43561</t>
        </is>
      </c>
      <c r="C121" s="58" t="n">
        <v>45853</v>
      </c>
      <c r="D121" s="57" t="inlineStr">
        <is>
          <t>E012</t>
        </is>
      </c>
      <c r="E121" s="57">
        <f>IFERROR(INDEX(Entreprises!$B$2:$B$3000,MATCH(D121,Entreprises!$A$2:$A$3000,0)),"")</f>
        <v/>
      </c>
      <c r="F121" s="57" t="inlineStr">
        <is>
          <t>P003</t>
        </is>
      </c>
      <c r="G121" s="57">
        <f>IFERROR(INDEX(Produits!$C$2:$C$3000,MATCH(F121,Produits!$A$2:$A$3000,0)),"")</f>
        <v/>
      </c>
      <c r="H121" s="60" t="n">
        <v>186</v>
      </c>
      <c r="I121" s="59">
        <f>IFERROR(INDEX(Produits!$G$2:$G$3000,MATCH(F121,Produits!$A$2:$A$3000,0)),"")</f>
        <v/>
      </c>
      <c r="J121" s="62" t="n">
        <v>0.07000000000000001</v>
      </c>
      <c r="K121" s="59">
        <f>IF(OR(H121="",I121=""),"",ROUND(H121*I121*(1-J121),2))</f>
        <v/>
      </c>
      <c r="L121" s="58" t="n">
        <v>45867</v>
      </c>
      <c r="M121" s="58" t="n">
        <v>45867</v>
      </c>
      <c r="N121" s="60">
        <f>IF(M121="","",MAX(0,M121-L121))</f>
        <v/>
      </c>
      <c r="O121" s="57" t="inlineStr">
        <is>
          <t>Facturée</t>
        </is>
      </c>
      <c r="P121" s="57" t="inlineStr">
        <is>
          <t>U004</t>
        </is>
      </c>
    </row>
    <row r="122" ht="15" customHeight="1" s="34">
      <c r="A122" s="57" t="inlineStr">
        <is>
          <t>CMD-2025-0121</t>
        </is>
      </c>
      <c r="B122" s="57" t="inlineStr">
        <is>
          <t>PO-KRO-27302</t>
        </is>
      </c>
      <c r="C122" s="58" t="n">
        <v>45859</v>
      </c>
      <c r="D122" s="57" t="inlineStr">
        <is>
          <t>E011</t>
        </is>
      </c>
      <c r="E122" s="57">
        <f>IFERROR(INDEX(Entreprises!$B$2:$B$3000,MATCH(D122,Entreprises!$A$2:$A$3000,0)),"")</f>
        <v/>
      </c>
      <c r="F122" s="57" t="inlineStr">
        <is>
          <t>P007</t>
        </is>
      </c>
      <c r="G122" s="57">
        <f>IFERROR(INDEX(Produits!$C$2:$C$3000,MATCH(F122,Produits!$A$2:$A$3000,0)),"")</f>
        <v/>
      </c>
      <c r="H122" s="60" t="n">
        <v>47</v>
      </c>
      <c r="I122" s="59">
        <f>IFERROR(INDEX(Produits!$G$2:$G$3000,MATCH(F122,Produits!$A$2:$A$3000,0)),"")</f>
        <v/>
      </c>
      <c r="J122" s="62" t="n">
        <v>0.07000000000000001</v>
      </c>
      <c r="K122" s="59">
        <f>IF(OR(H122="",I122=""),"",ROUND(H122*I122*(1-J122),2))</f>
        <v/>
      </c>
      <c r="L122" s="58" t="n">
        <v>45873</v>
      </c>
      <c r="M122" s="58" t="n">
        <v>45873</v>
      </c>
      <c r="N122" s="60">
        <f>IF(M122="","",MAX(0,M122-L122))</f>
        <v/>
      </c>
      <c r="O122" s="57" t="inlineStr">
        <is>
          <t>Facturée</t>
        </is>
      </c>
      <c r="P122" s="57" t="inlineStr">
        <is>
          <t>U003</t>
        </is>
      </c>
    </row>
    <row r="123" ht="15" customHeight="1" s="34">
      <c r="A123" s="57" t="inlineStr">
        <is>
          <t>CMD-2025-0122</t>
        </is>
      </c>
      <c r="B123" s="57" t="inlineStr">
        <is>
          <t>PO-REM-86131</t>
        </is>
      </c>
      <c r="C123" s="58" t="n">
        <v>45859</v>
      </c>
      <c r="D123" s="57" t="inlineStr">
        <is>
          <t>E017</t>
        </is>
      </c>
      <c r="E123" s="57">
        <f>IFERROR(INDEX(Entreprises!$B$2:$B$3000,MATCH(D123,Entreprises!$A$2:$A$3000,0)),"")</f>
        <v/>
      </c>
      <c r="F123" s="57" t="inlineStr">
        <is>
          <t>P005</t>
        </is>
      </c>
      <c r="G123" s="57">
        <f>IFERROR(INDEX(Produits!$C$2:$C$3000,MATCH(F123,Produits!$A$2:$A$3000,0)),"")</f>
        <v/>
      </c>
      <c r="H123" s="60" t="n">
        <v>22</v>
      </c>
      <c r="I123" s="59">
        <f>IFERROR(INDEX(Produits!$G$2:$G$3000,MATCH(F123,Produits!$A$2:$A$3000,0)),"")</f>
        <v/>
      </c>
      <c r="J123" s="62" t="n">
        <v>0.06</v>
      </c>
      <c r="K123" s="59">
        <f>IF(OR(H123="",I123=""),"",ROUND(H123*I123*(1-J123),2))</f>
        <v/>
      </c>
      <c r="L123" s="58" t="n">
        <v>45873</v>
      </c>
      <c r="M123" s="58" t="n">
        <v>45875</v>
      </c>
      <c r="N123" s="60">
        <f>IF(M123="","",MAX(0,M123-L123))</f>
        <v/>
      </c>
      <c r="O123" s="57" t="inlineStr">
        <is>
          <t>Facturée</t>
        </is>
      </c>
      <c r="P123" s="57" t="inlineStr">
        <is>
          <t>U005</t>
        </is>
      </c>
    </row>
    <row r="124" ht="15" customHeight="1" s="34">
      <c r="A124" s="57" t="inlineStr">
        <is>
          <t>CMD-2025-0123</t>
        </is>
      </c>
      <c r="B124" s="57" t="inlineStr">
        <is>
          <t>PO-INT-64234</t>
        </is>
      </c>
      <c r="C124" s="58" t="n">
        <v>45862</v>
      </c>
      <c r="D124" s="57" t="inlineStr">
        <is>
          <t>E004</t>
        </is>
      </c>
      <c r="E124" s="57">
        <f>IFERROR(INDEX(Entreprises!$B$2:$B$3000,MATCH(D124,Entreprises!$A$2:$A$3000,0)),"")</f>
        <v/>
      </c>
      <c r="F124" s="57" t="inlineStr">
        <is>
          <t>P008</t>
        </is>
      </c>
      <c r="G124" s="57">
        <f>IFERROR(INDEX(Produits!$C$2:$C$3000,MATCH(F124,Produits!$A$2:$A$3000,0)),"")</f>
        <v/>
      </c>
      <c r="H124" s="60" t="n">
        <v>32</v>
      </c>
      <c r="I124" s="59">
        <f>IFERROR(INDEX(Produits!$G$2:$G$3000,MATCH(F124,Produits!$A$2:$A$3000,0)),"")</f>
        <v/>
      </c>
      <c r="J124" s="62" t="n">
        <v>0.03</v>
      </c>
      <c r="K124" s="59">
        <f>IF(OR(H124="",I124=""),"",ROUND(H124*I124*(1-J124),2))</f>
        <v/>
      </c>
      <c r="L124" s="58" t="n">
        <v>45876</v>
      </c>
      <c r="M124" s="58" t="n">
        <v>45876</v>
      </c>
      <c r="N124" s="60">
        <f>IF(M124="","",MAX(0,M124-L124))</f>
        <v/>
      </c>
      <c r="O124" s="57" t="inlineStr">
        <is>
          <t>Facturée</t>
        </is>
      </c>
      <c r="P124" s="57" t="inlineStr">
        <is>
          <t>U002</t>
        </is>
      </c>
    </row>
    <row r="125" ht="15" customHeight="1" s="34">
      <c r="A125" s="57" t="inlineStr">
        <is>
          <t>CMD-2025-0124</t>
        </is>
      </c>
      <c r="B125" s="57" t="inlineStr">
        <is>
          <t>PO-BOI-83047</t>
        </is>
      </c>
      <c r="C125" s="58" t="n">
        <v>45862</v>
      </c>
      <c r="D125" s="57" t="inlineStr">
        <is>
          <t>E013</t>
        </is>
      </c>
      <c r="E125" s="57">
        <f>IFERROR(INDEX(Entreprises!$B$2:$B$3000,MATCH(D125,Entreprises!$A$2:$A$3000,0)),"")</f>
        <v/>
      </c>
      <c r="F125" s="57" t="inlineStr">
        <is>
          <t>P002</t>
        </is>
      </c>
      <c r="G125" s="57">
        <f>IFERROR(INDEX(Produits!$C$2:$C$3000,MATCH(F125,Produits!$A$2:$A$3000,0)),"")</f>
        <v/>
      </c>
      <c r="H125" s="60" t="n">
        <v>188</v>
      </c>
      <c r="I125" s="59">
        <f>IFERROR(INDEX(Produits!$G$2:$G$3000,MATCH(F125,Produits!$A$2:$A$3000,0)),"")</f>
        <v/>
      </c>
      <c r="J125" s="62" t="n">
        <v>0.04</v>
      </c>
      <c r="K125" s="59">
        <f>IF(OR(H125="",I125=""),"",ROUND(H125*I125*(1-J125),2))</f>
        <v/>
      </c>
      <c r="L125" s="58" t="n">
        <v>45876</v>
      </c>
      <c r="M125" s="58" t="n">
        <v>45875</v>
      </c>
      <c r="N125" s="60">
        <f>IF(M125="","",MAX(0,M125-L125))</f>
        <v/>
      </c>
      <c r="O125" s="57" t="inlineStr">
        <is>
          <t>Facturée</t>
        </is>
      </c>
      <c r="P125" s="57" t="inlineStr">
        <is>
          <t>U004</t>
        </is>
      </c>
    </row>
    <row r="126" ht="15" customHeight="1" s="34">
      <c r="A126" s="57" t="inlineStr">
        <is>
          <t>CMD-2025-0125</t>
        </is>
      </c>
      <c r="B126" s="57" t="inlineStr">
        <is>
          <t>PO-MAI-27107</t>
        </is>
      </c>
      <c r="C126" s="58" t="n">
        <v>45866</v>
      </c>
      <c r="D126" s="57" t="inlineStr">
        <is>
          <t>E018</t>
        </is>
      </c>
      <c r="E126" s="57">
        <f>IFERROR(INDEX(Entreprises!$B$2:$B$3000,MATCH(D126,Entreprises!$A$2:$A$3000,0)),"")</f>
        <v/>
      </c>
      <c r="F126" s="57" t="inlineStr">
        <is>
          <t>P006</t>
        </is>
      </c>
      <c r="G126" s="57">
        <f>IFERROR(INDEX(Produits!$C$2:$C$3000,MATCH(F126,Produits!$A$2:$A$3000,0)),"")</f>
        <v/>
      </c>
      <c r="H126" s="60" t="n">
        <v>5</v>
      </c>
      <c r="I126" s="59">
        <f>IFERROR(INDEX(Produits!$G$2:$G$3000,MATCH(F126,Produits!$A$2:$A$3000,0)),"")</f>
        <v/>
      </c>
      <c r="J126" s="62" t="n">
        <v>0.02</v>
      </c>
      <c r="K126" s="59">
        <f>IF(OR(H126="",I126=""),"",ROUND(H126*I126*(1-J126),2))</f>
        <v/>
      </c>
      <c r="L126" s="58" t="n">
        <v>45880</v>
      </c>
      <c r="M126" s="58" t="n">
        <v>45882</v>
      </c>
      <c r="N126" s="60">
        <f>IF(M126="","",MAX(0,M126-L126))</f>
        <v/>
      </c>
      <c r="O126" s="57" t="inlineStr">
        <is>
          <t>Facturée</t>
        </is>
      </c>
      <c r="P126" s="57" t="inlineStr">
        <is>
          <t>U005</t>
        </is>
      </c>
    </row>
    <row r="127" ht="15" customHeight="1" s="34">
      <c r="A127" s="57" t="inlineStr">
        <is>
          <t>CMD-2025-0126</t>
        </is>
      </c>
      <c r="B127" s="57" t="inlineStr">
        <is>
          <t>PO-LOR-84228</t>
        </is>
      </c>
      <c r="C127" s="58" t="n">
        <v>45866</v>
      </c>
      <c r="D127" s="57" t="inlineStr">
        <is>
          <t>E027</t>
        </is>
      </c>
      <c r="E127" s="57">
        <f>IFERROR(INDEX(Entreprises!$B$2:$B$3000,MATCH(D127,Entreprises!$A$2:$A$3000,0)),"")</f>
        <v/>
      </c>
      <c r="F127" s="57" t="inlineStr">
        <is>
          <t>P005</t>
        </is>
      </c>
      <c r="G127" s="57">
        <f>IFERROR(INDEX(Produits!$C$2:$C$3000,MATCH(F127,Produits!$A$2:$A$3000,0)),"")</f>
        <v/>
      </c>
      <c r="H127" s="60" t="n">
        <v>61</v>
      </c>
      <c r="I127" s="59">
        <f>IFERROR(INDEX(Produits!$G$2:$G$3000,MATCH(F127,Produits!$A$2:$A$3000,0)),"")</f>
        <v/>
      </c>
      <c r="J127" s="62" t="n">
        <v>0.08</v>
      </c>
      <c r="K127" s="59">
        <f>IF(OR(H127="",I127=""),"",ROUND(H127*I127*(1-J127),2))</f>
        <v/>
      </c>
      <c r="L127" s="58" t="n">
        <v>45880</v>
      </c>
      <c r="M127" s="58" t="n">
        <v>45880</v>
      </c>
      <c r="N127" s="60">
        <f>IF(M127="","",MAX(0,M127-L127))</f>
        <v/>
      </c>
      <c r="O127" s="57" t="inlineStr">
        <is>
          <t>Facturée</t>
        </is>
      </c>
      <c r="P127" s="57" t="inlineStr">
        <is>
          <t>U007</t>
        </is>
      </c>
    </row>
    <row r="128" ht="15" customHeight="1" s="34">
      <c r="A128" s="57" t="inlineStr">
        <is>
          <t>CMD-2025-0127</t>
        </is>
      </c>
      <c r="B128" s="57" t="inlineStr">
        <is>
          <t>PO-IPS-58242</t>
        </is>
      </c>
      <c r="C128" s="58" t="n">
        <v>45873</v>
      </c>
      <c r="D128" s="57" t="inlineStr">
        <is>
          <t>E023</t>
        </is>
      </c>
      <c r="E128" s="57">
        <f>IFERROR(INDEX(Entreprises!$B$2:$B$3000,MATCH(D128,Entreprises!$A$2:$A$3000,0)),"")</f>
        <v/>
      </c>
      <c r="F128" s="57" t="inlineStr">
        <is>
          <t>P001</t>
        </is>
      </c>
      <c r="G128" s="57">
        <f>IFERROR(INDEX(Produits!$C$2:$C$3000,MATCH(F128,Produits!$A$2:$A$3000,0)),"")</f>
        <v/>
      </c>
      <c r="H128" s="60" t="n">
        <v>112</v>
      </c>
      <c r="I128" s="59">
        <f>IFERROR(INDEX(Produits!$G$2:$G$3000,MATCH(F128,Produits!$A$2:$A$3000,0)),"")</f>
        <v/>
      </c>
      <c r="J128" s="62" t="n">
        <v>0.07000000000000001</v>
      </c>
      <c r="K128" s="59">
        <f>IF(OR(H128="",I128=""),"",ROUND(H128*I128*(1-J128),2))</f>
        <v/>
      </c>
      <c r="L128" s="58" t="n">
        <v>45887</v>
      </c>
      <c r="M128" s="58" t="n">
        <v>45887</v>
      </c>
      <c r="N128" s="60">
        <f>IF(M128="","",MAX(0,M128-L128))</f>
        <v/>
      </c>
      <c r="O128" s="57" t="inlineStr">
        <is>
          <t>Facturée</t>
        </is>
      </c>
      <c r="P128" s="57" t="inlineStr">
        <is>
          <t>U006</t>
        </is>
      </c>
    </row>
    <row r="129" ht="15" customHeight="1" s="34">
      <c r="A129" s="57" t="inlineStr">
        <is>
          <t>CMD-2025-0128</t>
        </is>
      </c>
      <c r="B129" s="57" t="inlineStr">
        <is>
          <t>PO-DAN-45321</t>
        </is>
      </c>
      <c r="C129" s="58" t="n">
        <v>45880</v>
      </c>
      <c r="D129" s="57" t="inlineStr">
        <is>
          <t>E026</t>
        </is>
      </c>
      <c r="E129" s="57">
        <f>IFERROR(INDEX(Entreprises!$B$2:$B$3000,MATCH(D129,Entreprises!$A$2:$A$3000,0)),"")</f>
        <v/>
      </c>
      <c r="F129" s="57" t="inlineStr">
        <is>
          <t>P003</t>
        </is>
      </c>
      <c r="G129" s="57">
        <f>IFERROR(INDEX(Produits!$C$2:$C$3000,MATCH(F129,Produits!$A$2:$A$3000,0)),"")</f>
        <v/>
      </c>
      <c r="H129" s="60" t="n">
        <v>318</v>
      </c>
      <c r="I129" s="59">
        <f>IFERROR(INDEX(Produits!$G$2:$G$3000,MATCH(F129,Produits!$A$2:$A$3000,0)),"")</f>
        <v/>
      </c>
      <c r="J129" s="62" t="n">
        <v>0.06</v>
      </c>
      <c r="K129" s="59">
        <f>IF(OR(H129="",I129=""),"",ROUND(H129*I129*(1-J129),2))</f>
        <v/>
      </c>
      <c r="L129" s="58" t="n">
        <v>45894</v>
      </c>
      <c r="M129" s="58" t="n">
        <v>45894</v>
      </c>
      <c r="N129" s="60">
        <f>IF(M129="","",MAX(0,M129-L129))</f>
        <v/>
      </c>
      <c r="O129" s="57" t="inlineStr">
        <is>
          <t>Facturée</t>
        </is>
      </c>
      <c r="P129" s="57" t="inlineStr">
        <is>
          <t>U007</t>
        </is>
      </c>
    </row>
    <row r="130" ht="15" customHeight="1" s="34">
      <c r="A130" s="57" t="inlineStr">
        <is>
          <t>CMD-2025-0129</t>
        </is>
      </c>
      <c r="B130" s="57" t="inlineStr">
        <is>
          <t>PO-SAN-43633</t>
        </is>
      </c>
      <c r="C130" s="58" t="n">
        <v>45882</v>
      </c>
      <c r="D130" s="57" t="inlineStr">
        <is>
          <t>E022</t>
        </is>
      </c>
      <c r="E130" s="57">
        <f>IFERROR(INDEX(Entreprises!$B$2:$B$3000,MATCH(D130,Entreprises!$A$2:$A$3000,0)),"")</f>
        <v/>
      </c>
      <c r="F130" s="57" t="inlineStr">
        <is>
          <t>P004</t>
        </is>
      </c>
      <c r="G130" s="57">
        <f>IFERROR(INDEX(Produits!$C$2:$C$3000,MATCH(F130,Produits!$A$2:$A$3000,0)),"")</f>
        <v/>
      </c>
      <c r="H130" s="60" t="n">
        <v>238</v>
      </c>
      <c r="I130" s="59">
        <f>IFERROR(INDEX(Produits!$G$2:$G$3000,MATCH(F130,Produits!$A$2:$A$3000,0)),"")</f>
        <v/>
      </c>
      <c r="J130" s="62" t="n">
        <v>0.07000000000000001</v>
      </c>
      <c r="K130" s="59">
        <f>IF(OR(H130="",I130=""),"",ROUND(H130*I130*(1-J130),2))</f>
        <v/>
      </c>
      <c r="L130" s="58" t="n">
        <v>45896</v>
      </c>
      <c r="M130" s="58" t="n">
        <v>45896</v>
      </c>
      <c r="N130" s="60">
        <f>IF(M130="","",MAX(0,M130-L130))</f>
        <v/>
      </c>
      <c r="O130" s="57" t="inlineStr">
        <is>
          <t>Facturée</t>
        </is>
      </c>
      <c r="P130" s="57" t="inlineStr">
        <is>
          <t>U006</t>
        </is>
      </c>
    </row>
    <row r="131" ht="15" customHeight="1" s="34">
      <c r="A131" s="57" t="inlineStr">
        <is>
          <t>CMD-2025-0130</t>
        </is>
      </c>
      <c r="B131" s="57" t="inlineStr">
        <is>
          <t>PO-PER-22004</t>
        </is>
      </c>
      <c r="C131" s="58" t="n">
        <v>45887</v>
      </c>
      <c r="D131" s="57" t="inlineStr">
        <is>
          <t>E025</t>
        </is>
      </c>
      <c r="E131" s="57">
        <f>IFERROR(INDEX(Entreprises!$B$2:$B$3000,MATCH(D131,Entreprises!$A$2:$A$3000,0)),"")</f>
        <v/>
      </c>
      <c r="F131" s="57" t="inlineStr">
        <is>
          <t>P006</t>
        </is>
      </c>
      <c r="G131" s="57">
        <f>IFERROR(INDEX(Produits!$C$2:$C$3000,MATCH(F131,Produits!$A$2:$A$3000,0)),"")</f>
        <v/>
      </c>
      <c r="H131" s="60" t="n">
        <v>57</v>
      </c>
      <c r="I131" s="59">
        <f>IFERROR(INDEX(Produits!$G$2:$G$3000,MATCH(F131,Produits!$A$2:$A$3000,0)),"")</f>
        <v/>
      </c>
      <c r="J131" s="62" t="n">
        <v>0.08</v>
      </c>
      <c r="K131" s="59">
        <f>IF(OR(H131="",I131=""),"",ROUND(H131*I131*(1-J131),2))</f>
        <v/>
      </c>
      <c r="L131" s="58" t="n">
        <v>45901</v>
      </c>
      <c r="M131" s="58" t="n">
        <v>45901</v>
      </c>
      <c r="N131" s="60">
        <f>IF(M131="","",MAX(0,M131-L131))</f>
        <v/>
      </c>
      <c r="O131" s="57" t="inlineStr">
        <is>
          <t>Facturée</t>
        </is>
      </c>
      <c r="P131" s="57" t="inlineStr">
        <is>
          <t>U007</t>
        </is>
      </c>
    </row>
    <row r="132" ht="15" customHeight="1" s="34">
      <c r="A132" s="57" t="inlineStr">
        <is>
          <t>CMD-2025-0131</t>
        </is>
      </c>
      <c r="B132" s="57" t="inlineStr">
        <is>
          <t>PO-BON-96331</t>
        </is>
      </c>
      <c r="C132" s="58" t="n">
        <v>45888</v>
      </c>
      <c r="D132" s="57" t="inlineStr">
        <is>
          <t>E001</t>
        </is>
      </c>
      <c r="E132" s="57">
        <f>IFERROR(INDEX(Entreprises!$B$2:$B$3000,MATCH(D132,Entreprises!$A$2:$A$3000,0)),"")</f>
        <v/>
      </c>
      <c r="F132" s="57" t="inlineStr">
        <is>
          <t>P003</t>
        </is>
      </c>
      <c r="G132" s="57">
        <f>IFERROR(INDEX(Produits!$C$2:$C$3000,MATCH(F132,Produits!$A$2:$A$3000,0)),"")</f>
        <v/>
      </c>
      <c r="H132" s="60" t="n">
        <v>159</v>
      </c>
      <c r="I132" s="59">
        <f>IFERROR(INDEX(Produits!$G$2:$G$3000,MATCH(F132,Produits!$A$2:$A$3000,0)),"")</f>
        <v/>
      </c>
      <c r="J132" s="62" t="n">
        <v>0.05</v>
      </c>
      <c r="K132" s="59">
        <f>IF(OR(H132="",I132=""),"",ROUND(H132*I132*(1-J132),2))</f>
        <v/>
      </c>
      <c r="L132" s="58" t="n">
        <v>45902</v>
      </c>
      <c r="M132" s="58" t="n">
        <v>45902</v>
      </c>
      <c r="N132" s="60">
        <f>IF(M132="","",MAX(0,M132-L132))</f>
        <v/>
      </c>
      <c r="O132" s="57" t="inlineStr">
        <is>
          <t>Facturée</t>
        </is>
      </c>
      <c r="P132" s="57" t="inlineStr">
        <is>
          <t>U002</t>
        </is>
      </c>
    </row>
    <row r="133" ht="15" customHeight="1" s="34">
      <c r="A133" s="57" t="inlineStr">
        <is>
          <t>CMD-2025-0132</t>
        </is>
      </c>
      <c r="B133" s="57" t="inlineStr">
        <is>
          <t>PO-GUE-51887</t>
        </is>
      </c>
      <c r="C133" s="58" t="n">
        <v>45890</v>
      </c>
      <c r="D133" s="57" t="inlineStr">
        <is>
          <t>E003</t>
        </is>
      </c>
      <c r="E133" s="57">
        <f>IFERROR(INDEX(Entreprises!$B$2:$B$3000,MATCH(D133,Entreprises!$A$2:$A$3000,0)),"")</f>
        <v/>
      </c>
      <c r="F133" s="57" t="inlineStr">
        <is>
          <t>P001</t>
        </is>
      </c>
      <c r="G133" s="57">
        <f>IFERROR(INDEX(Produits!$C$2:$C$3000,MATCH(F133,Produits!$A$2:$A$3000,0)),"")</f>
        <v/>
      </c>
      <c r="H133" s="60" t="n">
        <v>115</v>
      </c>
      <c r="I133" s="59">
        <f>IFERROR(INDEX(Produits!$G$2:$G$3000,MATCH(F133,Produits!$A$2:$A$3000,0)),"")</f>
        <v/>
      </c>
      <c r="J133" s="62" t="n">
        <v>0.04</v>
      </c>
      <c r="K133" s="59">
        <f>IF(OR(H133="",I133=""),"",ROUND(H133*I133*(1-J133),2))</f>
        <v/>
      </c>
      <c r="L133" s="58" t="n">
        <v>45904</v>
      </c>
      <c r="M133" s="58" t="n">
        <v>45908</v>
      </c>
      <c r="N133" s="60">
        <f>IF(M133="","",MAX(0,M133-L133))</f>
        <v/>
      </c>
      <c r="O133" s="57" t="inlineStr">
        <is>
          <t>Facturée</t>
        </is>
      </c>
      <c r="P133" s="57" t="inlineStr">
        <is>
          <t>U002</t>
        </is>
      </c>
    </row>
    <row r="134" ht="15" customHeight="1" s="34">
      <c r="A134" s="57" t="inlineStr">
        <is>
          <t>CMD-2025-0133</t>
        </is>
      </c>
      <c r="B134" s="57" t="inlineStr">
        <is>
          <t>PO-LAU-53362</t>
        </is>
      </c>
      <c r="C134" s="58" t="n">
        <v>45890</v>
      </c>
      <c r="D134" s="57" t="inlineStr">
        <is>
          <t>E009</t>
        </is>
      </c>
      <c r="E134" s="57">
        <f>IFERROR(INDEX(Entreprises!$B$2:$B$3000,MATCH(D134,Entreprises!$A$2:$A$3000,0)),"")</f>
        <v/>
      </c>
      <c r="F134" s="57" t="inlineStr">
        <is>
          <t>P007</t>
        </is>
      </c>
      <c r="G134" s="57">
        <f>IFERROR(INDEX(Produits!$C$2:$C$3000,MATCH(F134,Produits!$A$2:$A$3000,0)),"")</f>
        <v/>
      </c>
      <c r="H134" s="60" t="n">
        <v>23</v>
      </c>
      <c r="I134" s="59">
        <f>IFERROR(INDEX(Produits!$G$2:$G$3000,MATCH(F134,Produits!$A$2:$A$3000,0)),"")</f>
        <v/>
      </c>
      <c r="J134" s="62" t="n">
        <v>0.04</v>
      </c>
      <c r="K134" s="59">
        <f>IF(OR(H134="",I134=""),"",ROUND(H134*I134*(1-J134),2))</f>
        <v/>
      </c>
      <c r="L134" s="58" t="n">
        <v>45904</v>
      </c>
      <c r="M134" s="58" t="n">
        <v>45902</v>
      </c>
      <c r="N134" s="60">
        <f>IF(M134="","",MAX(0,M134-L134))</f>
        <v/>
      </c>
      <c r="O134" s="57" t="inlineStr">
        <is>
          <t>Facturée</t>
        </is>
      </c>
      <c r="P134" s="57" t="inlineStr">
        <is>
          <t>U003</t>
        </is>
      </c>
    </row>
    <row r="135" ht="15" customHeight="1" s="34">
      <c r="A135" s="57" t="inlineStr">
        <is>
          <t>CMD-2025-0134</t>
        </is>
      </c>
      <c r="B135" s="57" t="inlineStr">
        <is>
          <t>PO-LEG-26420</t>
        </is>
      </c>
      <c r="C135" s="58" t="n">
        <v>45894</v>
      </c>
      <c r="D135" s="57" t="inlineStr">
        <is>
          <t>E021</t>
        </is>
      </c>
      <c r="E135" s="57">
        <f>IFERROR(INDEX(Entreprises!$B$2:$B$3000,MATCH(D135,Entreprises!$A$2:$A$3000,0)),"")</f>
        <v/>
      </c>
      <c r="F135" s="57" t="inlineStr">
        <is>
          <t>P008</t>
        </is>
      </c>
      <c r="G135" s="57">
        <f>IFERROR(INDEX(Produits!$C$2:$C$3000,MATCH(F135,Produits!$A$2:$A$3000,0)),"")</f>
        <v/>
      </c>
      <c r="H135" s="60" t="n">
        <v>78</v>
      </c>
      <c r="I135" s="59">
        <f>IFERROR(INDEX(Produits!$G$2:$G$3000,MATCH(F135,Produits!$A$2:$A$3000,0)),"")</f>
        <v/>
      </c>
      <c r="J135" s="62" t="n">
        <v>0.05</v>
      </c>
      <c r="K135" s="59">
        <f>IF(OR(H135="",I135=""),"",ROUND(H135*I135*(1-J135),2))</f>
        <v/>
      </c>
      <c r="L135" s="58" t="n">
        <v>45908</v>
      </c>
      <c r="M135" s="58" t="n">
        <v>45909</v>
      </c>
      <c r="N135" s="60">
        <f>IF(M135="","",MAX(0,M135-L135))</f>
        <v/>
      </c>
      <c r="O135" s="57" t="inlineStr">
        <is>
          <t>Facturée</t>
        </is>
      </c>
      <c r="P135" s="57" t="inlineStr">
        <is>
          <t>U005</t>
        </is>
      </c>
    </row>
    <row r="136" ht="15" customHeight="1" s="34">
      <c r="A136" s="57" t="inlineStr">
        <is>
          <t>CMD-2025-0135</t>
        </is>
      </c>
      <c r="B136" s="57" t="inlineStr">
        <is>
          <t>PO-SCH-40995</t>
        </is>
      </c>
      <c r="C136" s="58" t="n">
        <v>45894</v>
      </c>
      <c r="D136" s="57" t="inlineStr">
        <is>
          <t>E030</t>
        </is>
      </c>
      <c r="E136" s="57">
        <f>IFERROR(INDEX(Entreprises!$B$2:$B$3000,MATCH(D136,Entreprises!$A$2:$A$3000,0)),"")</f>
        <v/>
      </c>
      <c r="F136" s="57" t="inlineStr">
        <is>
          <t>P008</t>
        </is>
      </c>
      <c r="G136" s="57">
        <f>IFERROR(INDEX(Produits!$C$2:$C$3000,MATCH(F136,Produits!$A$2:$A$3000,0)),"")</f>
        <v/>
      </c>
      <c r="H136" s="60" t="n">
        <v>122</v>
      </c>
      <c r="I136" s="59">
        <f>IFERROR(INDEX(Produits!$G$2:$G$3000,MATCH(F136,Produits!$A$2:$A$3000,0)),"")</f>
        <v/>
      </c>
      <c r="J136" s="62" t="n">
        <v>0.07000000000000001</v>
      </c>
      <c r="K136" s="59">
        <f>IF(OR(H136="",I136=""),"",ROUND(H136*I136*(1-J136),2))</f>
        <v/>
      </c>
      <c r="L136" s="58" t="n">
        <v>45908</v>
      </c>
      <c r="M136" s="58" t="n">
        <v>45908</v>
      </c>
      <c r="N136" s="60">
        <f>IF(M136="","",MAX(0,M136-L136))</f>
        <v/>
      </c>
      <c r="O136" s="57" t="inlineStr">
        <is>
          <t>Facturée</t>
        </is>
      </c>
      <c r="P136" s="57" t="inlineStr">
        <is>
          <t>U007</t>
        </is>
      </c>
    </row>
    <row r="137" ht="15" customHeight="1" s="34">
      <c r="A137" s="57" t="inlineStr">
        <is>
          <t>CMD-2025-0136</t>
        </is>
      </c>
      <c r="B137" s="57" t="inlineStr">
        <is>
          <t>PO-NEX-29989</t>
        </is>
      </c>
      <c r="C137" s="58" t="n">
        <v>45898</v>
      </c>
      <c r="D137" s="57" t="inlineStr">
        <is>
          <t>E007</t>
        </is>
      </c>
      <c r="E137" s="57">
        <f>IFERROR(INDEX(Entreprises!$B$2:$B$3000,MATCH(D137,Entreprises!$A$2:$A$3000,0)),"")</f>
        <v/>
      </c>
      <c r="F137" s="57" t="inlineStr">
        <is>
          <t>P007</t>
        </is>
      </c>
      <c r="G137" s="57">
        <f>IFERROR(INDEX(Produits!$C$2:$C$3000,MATCH(F137,Produits!$A$2:$A$3000,0)),"")</f>
        <v/>
      </c>
      <c r="H137" s="60" t="n">
        <v>32</v>
      </c>
      <c r="I137" s="59">
        <f>IFERROR(INDEX(Produits!$G$2:$G$3000,MATCH(F137,Produits!$A$2:$A$3000,0)),"")</f>
        <v/>
      </c>
      <c r="J137" s="62" t="n">
        <v>0.07000000000000001</v>
      </c>
      <c r="K137" s="59">
        <f>IF(OR(H137="",I137=""),"",ROUND(H137*I137*(1-J137),2))</f>
        <v/>
      </c>
      <c r="L137" s="58" t="n">
        <v>45912</v>
      </c>
      <c r="M137" s="58" t="n">
        <v>45910</v>
      </c>
      <c r="N137" s="60">
        <f>IF(M137="","",MAX(0,M137-L137))</f>
        <v/>
      </c>
      <c r="O137" s="57" t="inlineStr">
        <is>
          <t>Facturée</t>
        </is>
      </c>
      <c r="P137" s="57" t="inlineStr">
        <is>
          <t>U002</t>
        </is>
      </c>
    </row>
    <row r="138" ht="15" customHeight="1" s="34">
      <c r="A138" s="57" t="inlineStr">
        <is>
          <t>CMD-2025-0137</t>
        </is>
      </c>
      <c r="B138" s="57" t="inlineStr">
        <is>
          <t>PO-MOE-56635</t>
        </is>
      </c>
      <c r="C138" s="58" t="n">
        <v>45901</v>
      </c>
      <c r="D138" s="57" t="inlineStr">
        <is>
          <t>E008</t>
        </is>
      </c>
      <c r="E138" s="57">
        <f>IFERROR(INDEX(Entreprises!$B$2:$B$3000,MATCH(D138,Entreprises!$A$2:$A$3000,0)),"")</f>
        <v/>
      </c>
      <c r="F138" s="57" t="inlineStr">
        <is>
          <t>P006</t>
        </is>
      </c>
      <c r="G138" s="57">
        <f>IFERROR(INDEX(Produits!$C$2:$C$3000,MATCH(F138,Produits!$A$2:$A$3000,0)),"")</f>
        <v/>
      </c>
      <c r="H138" s="60" t="n">
        <v>53</v>
      </c>
      <c r="I138" s="59">
        <f>IFERROR(INDEX(Produits!$G$2:$G$3000,MATCH(F138,Produits!$A$2:$A$3000,0)),"")</f>
        <v/>
      </c>
      <c r="J138" s="62" t="n">
        <v>0.05</v>
      </c>
      <c r="K138" s="59">
        <f>IF(OR(H138="",I138=""),"",ROUND(H138*I138*(1-J138),2))</f>
        <v/>
      </c>
      <c r="L138" s="58" t="n">
        <v>45915</v>
      </c>
      <c r="M138" s="58" t="n">
        <v>45915</v>
      </c>
      <c r="N138" s="60">
        <f>IF(M138="","",MAX(0,M138-L138))</f>
        <v/>
      </c>
      <c r="O138" s="57" t="inlineStr">
        <is>
          <t>Facturée</t>
        </is>
      </c>
      <c r="P138" s="57" t="inlineStr">
        <is>
          <t>U003</t>
        </is>
      </c>
    </row>
    <row r="139" ht="15" customHeight="1" s="34">
      <c r="A139" s="57" t="inlineStr">
        <is>
          <t>CMD-2025-0138</t>
        </is>
      </c>
      <c r="B139" s="57" t="inlineStr">
        <is>
          <t>PO-SAV-66942</t>
        </is>
      </c>
      <c r="C139" s="58" t="n">
        <v>45901</v>
      </c>
      <c r="D139" s="57" t="inlineStr">
        <is>
          <t>E028</t>
        </is>
      </c>
      <c r="E139" s="57">
        <f>IFERROR(INDEX(Entreprises!$B$2:$B$3000,MATCH(D139,Entreprises!$A$2:$A$3000,0)),"")</f>
        <v/>
      </c>
      <c r="F139" s="57" t="inlineStr">
        <is>
          <t>P003</t>
        </is>
      </c>
      <c r="G139" s="57">
        <f>IFERROR(INDEX(Produits!$C$2:$C$3000,MATCH(F139,Produits!$A$2:$A$3000,0)),"")</f>
        <v/>
      </c>
      <c r="H139" s="60" t="n">
        <v>151</v>
      </c>
      <c r="I139" s="59">
        <f>IFERROR(INDEX(Produits!$G$2:$G$3000,MATCH(F139,Produits!$A$2:$A$3000,0)),"")</f>
        <v/>
      </c>
      <c r="J139" s="62" t="n">
        <v>0.08</v>
      </c>
      <c r="K139" s="59">
        <f>IF(OR(H139="",I139=""),"",ROUND(H139*I139*(1-J139),2))</f>
        <v/>
      </c>
      <c r="L139" s="58" t="n">
        <v>45915</v>
      </c>
      <c r="M139" s="58" t="n">
        <v>45915</v>
      </c>
      <c r="N139" s="60">
        <f>IF(M139="","",MAX(0,M139-L139))</f>
        <v/>
      </c>
      <c r="O139" s="57" t="inlineStr">
        <is>
          <t>Facturée</t>
        </is>
      </c>
      <c r="P139" s="57" t="inlineStr">
        <is>
          <t>U007</t>
        </is>
      </c>
    </row>
    <row r="140" ht="15" customHeight="1" s="34">
      <c r="A140" s="57" t="inlineStr">
        <is>
          <t>CMD-2025-0139</t>
        </is>
      </c>
      <c r="B140" s="57" t="inlineStr">
        <is>
          <t>PO-LES-22203</t>
        </is>
      </c>
      <c r="C140" s="58" t="n">
        <v>45904</v>
      </c>
      <c r="D140" s="57" t="inlineStr">
        <is>
          <t>E002</t>
        </is>
      </c>
      <c r="E140" s="57">
        <f>IFERROR(INDEX(Entreprises!$B$2:$B$3000,MATCH(D140,Entreprises!$A$2:$A$3000,0)),"")</f>
        <v/>
      </c>
      <c r="F140" s="57" t="inlineStr">
        <is>
          <t>P003</t>
        </is>
      </c>
      <c r="G140" s="57">
        <f>IFERROR(INDEX(Produits!$C$2:$C$3000,MATCH(F140,Produits!$A$2:$A$3000,0)),"")</f>
        <v/>
      </c>
      <c r="H140" s="60" t="n">
        <v>134</v>
      </c>
      <c r="I140" s="59">
        <f>IFERROR(INDEX(Produits!$G$2:$G$3000,MATCH(F140,Produits!$A$2:$A$3000,0)),"")</f>
        <v/>
      </c>
      <c r="J140" s="62" t="n">
        <v>0.08</v>
      </c>
      <c r="K140" s="59">
        <f>IF(OR(H140="",I140=""),"",ROUND(H140*I140*(1-J140),2))</f>
        <v/>
      </c>
      <c r="L140" s="58" t="n">
        <v>45918</v>
      </c>
      <c r="M140" s="58" t="n">
        <v>45916</v>
      </c>
      <c r="N140" s="60">
        <f>IF(M140="","",MAX(0,M140-L140))</f>
        <v/>
      </c>
      <c r="O140" s="57" t="inlineStr">
        <is>
          <t>Facturée</t>
        </is>
      </c>
      <c r="P140" s="57" t="inlineStr">
        <is>
          <t>U002</t>
        </is>
      </c>
    </row>
    <row r="141" ht="15" customHeight="1" s="34">
      <c r="A141" s="57" t="inlineStr">
        <is>
          <t>CMD-2025-0140</t>
        </is>
      </c>
      <c r="B141" s="57" t="inlineStr">
        <is>
          <t>PO-PIE-72076</t>
        </is>
      </c>
      <c r="C141" s="58" t="n">
        <v>45905</v>
      </c>
      <c r="D141" s="57" t="inlineStr">
        <is>
          <t>E019</t>
        </is>
      </c>
      <c r="E141" s="57">
        <f>IFERROR(INDEX(Entreprises!$B$2:$B$3000,MATCH(D141,Entreprises!$A$2:$A$3000,0)),"")</f>
        <v/>
      </c>
      <c r="F141" s="57" t="inlineStr">
        <is>
          <t>P001</t>
        </is>
      </c>
      <c r="G141" s="57">
        <f>IFERROR(INDEX(Produits!$C$2:$C$3000,MATCH(F141,Produits!$A$2:$A$3000,0)),"")</f>
        <v/>
      </c>
      <c r="H141" s="60" t="n">
        <v>168</v>
      </c>
      <c r="I141" s="59">
        <f>IFERROR(INDEX(Produits!$G$2:$G$3000,MATCH(F141,Produits!$A$2:$A$3000,0)),"")</f>
        <v/>
      </c>
      <c r="J141" s="62" t="n">
        <v>0.07000000000000001</v>
      </c>
      <c r="K141" s="59">
        <f>IF(OR(H141="",I141=""),"",ROUND(H141*I141*(1-J141),2))</f>
        <v/>
      </c>
      <c r="L141" s="58" t="n">
        <v>45919</v>
      </c>
      <c r="M141" s="58" t="n">
        <v>45918</v>
      </c>
      <c r="N141" s="60">
        <f>IF(M141="","",MAX(0,M141-L141))</f>
        <v/>
      </c>
      <c r="O141" s="57" t="inlineStr">
        <is>
          <t>Facturée</t>
        </is>
      </c>
      <c r="P141" s="57" t="inlineStr">
        <is>
          <t>U005</t>
        </is>
      </c>
    </row>
    <row r="142" ht="15" customHeight="1" s="34">
      <c r="A142" s="57" t="inlineStr">
        <is>
          <t>CMD-2025-0141</t>
        </is>
      </c>
      <c r="B142" s="57" t="inlineStr">
        <is>
          <t>PO-INT-69632</t>
        </is>
      </c>
      <c r="C142" s="58" t="n">
        <v>45909</v>
      </c>
      <c r="D142" s="57" t="inlineStr">
        <is>
          <t>E004</t>
        </is>
      </c>
      <c r="E142" s="57">
        <f>IFERROR(INDEX(Entreprises!$B$2:$B$3000,MATCH(D142,Entreprises!$A$2:$A$3000,0)),"")</f>
        <v/>
      </c>
      <c r="F142" s="57" t="inlineStr">
        <is>
          <t>P005</t>
        </is>
      </c>
      <c r="G142" s="57">
        <f>IFERROR(INDEX(Produits!$C$2:$C$3000,MATCH(F142,Produits!$A$2:$A$3000,0)),"")</f>
        <v/>
      </c>
      <c r="H142" s="60" t="n">
        <v>13</v>
      </c>
      <c r="I142" s="59">
        <f>IFERROR(INDEX(Produits!$G$2:$G$3000,MATCH(F142,Produits!$A$2:$A$3000,0)),"")</f>
        <v/>
      </c>
      <c r="J142" s="62" t="n">
        <v>0.05</v>
      </c>
      <c r="K142" s="59">
        <f>IF(OR(H142="",I142=""),"",ROUND(H142*I142*(1-J142),2))</f>
        <v/>
      </c>
      <c r="L142" s="58" t="n">
        <v>45923</v>
      </c>
      <c r="M142" s="58" t="n">
        <v>45924</v>
      </c>
      <c r="N142" s="60">
        <f>IF(M142="","",MAX(0,M142-L142))</f>
        <v/>
      </c>
      <c r="O142" s="57" t="inlineStr">
        <is>
          <t>Facturée</t>
        </is>
      </c>
      <c r="P142" s="57" t="inlineStr">
        <is>
          <t>U002</t>
        </is>
      </c>
    </row>
    <row r="143" ht="15" customHeight="1" s="34">
      <c r="A143" s="57" t="inlineStr">
        <is>
          <t>CMD-2025-0142</t>
        </is>
      </c>
      <c r="B143" s="57" t="inlineStr">
        <is>
          <t>PO-REM-34226</t>
        </is>
      </c>
      <c r="C143" s="58" t="n">
        <v>45910</v>
      </c>
      <c r="D143" s="57" t="inlineStr">
        <is>
          <t>E017</t>
        </is>
      </c>
      <c r="E143" s="57">
        <f>IFERROR(INDEX(Entreprises!$B$2:$B$3000,MATCH(D143,Entreprises!$A$2:$A$3000,0)),"")</f>
        <v/>
      </c>
      <c r="F143" s="57" t="inlineStr">
        <is>
          <t>P006</t>
        </is>
      </c>
      <c r="G143" s="57">
        <f>IFERROR(INDEX(Produits!$C$2:$C$3000,MATCH(F143,Produits!$A$2:$A$3000,0)),"")</f>
        <v/>
      </c>
      <c r="H143" s="60" t="n">
        <v>34</v>
      </c>
      <c r="I143" s="59">
        <f>IFERROR(INDEX(Produits!$G$2:$G$3000,MATCH(F143,Produits!$A$2:$A$3000,0)),"")</f>
        <v/>
      </c>
      <c r="J143" s="62" t="n">
        <v>0.05</v>
      </c>
      <c r="K143" s="59">
        <f>IF(OR(H143="",I143=""),"",ROUND(H143*I143*(1-J143),2))</f>
        <v/>
      </c>
      <c r="L143" s="58" t="n">
        <v>45924</v>
      </c>
      <c r="M143" s="58" t="n">
        <v>45924</v>
      </c>
      <c r="N143" s="60">
        <f>IF(M143="","",MAX(0,M143-L143))</f>
        <v/>
      </c>
      <c r="O143" s="57" t="inlineStr">
        <is>
          <t>Facturée</t>
        </is>
      </c>
      <c r="P143" s="57" t="inlineStr">
        <is>
          <t>U005</t>
        </is>
      </c>
    </row>
    <row r="144" ht="15" customHeight="1" s="34">
      <c r="A144" s="57" t="inlineStr">
        <is>
          <t>CMD-2025-0143</t>
        </is>
      </c>
      <c r="B144" s="57" t="inlineStr">
        <is>
          <t>PO-SEB-78608</t>
        </is>
      </c>
      <c r="C144" s="58" t="n">
        <v>45911</v>
      </c>
      <c r="D144" s="57" t="inlineStr">
        <is>
          <t>E014</t>
        </is>
      </c>
      <c r="E144" s="57">
        <f>IFERROR(INDEX(Entreprises!$B$2:$B$3000,MATCH(D144,Entreprises!$A$2:$A$3000,0)),"")</f>
        <v/>
      </c>
      <c r="F144" s="57" t="inlineStr">
        <is>
          <t>P007</t>
        </is>
      </c>
      <c r="G144" s="57">
        <f>IFERROR(INDEX(Produits!$C$2:$C$3000,MATCH(F144,Produits!$A$2:$A$3000,0)),"")</f>
        <v/>
      </c>
      <c r="H144" s="60" t="n">
        <v>57</v>
      </c>
      <c r="I144" s="59">
        <f>IFERROR(INDEX(Produits!$G$2:$G$3000,MATCH(F144,Produits!$A$2:$A$3000,0)),"")</f>
        <v/>
      </c>
      <c r="J144" s="62" t="n">
        <v>0.05</v>
      </c>
      <c r="K144" s="59">
        <f>IF(OR(H144="",I144=""),"",ROUND(H144*I144*(1-J144),2))</f>
        <v/>
      </c>
      <c r="L144" s="58" t="n">
        <v>45925</v>
      </c>
      <c r="M144" s="58" t="n">
        <v>45925</v>
      </c>
      <c r="N144" s="60">
        <f>IF(M144="","",MAX(0,M144-L144))</f>
        <v/>
      </c>
      <c r="O144" s="57" t="inlineStr">
        <is>
          <t>Facturée</t>
        </is>
      </c>
      <c r="P144" s="57" t="inlineStr">
        <is>
          <t>U004</t>
        </is>
      </c>
    </row>
    <row r="145" ht="15" customHeight="1" s="34">
      <c r="A145" s="57" t="inlineStr">
        <is>
          <t>CMD-2025-0144</t>
        </is>
      </c>
      <c r="B145" s="57" t="inlineStr">
        <is>
          <t>PO-MAI-92068</t>
        </is>
      </c>
      <c r="C145" s="58" t="n">
        <v>45915</v>
      </c>
      <c r="D145" s="57" t="inlineStr">
        <is>
          <t>E018</t>
        </is>
      </c>
      <c r="E145" s="57">
        <f>IFERROR(INDEX(Entreprises!$B$2:$B$3000,MATCH(D145,Entreprises!$A$2:$A$3000,0)),"")</f>
        <v/>
      </c>
      <c r="F145" s="57" t="inlineStr">
        <is>
          <t>P006</t>
        </is>
      </c>
      <c r="G145" s="57">
        <f>IFERROR(INDEX(Produits!$C$2:$C$3000,MATCH(F145,Produits!$A$2:$A$3000,0)),"")</f>
        <v/>
      </c>
      <c r="H145" s="60" t="n">
        <v>6</v>
      </c>
      <c r="I145" s="59">
        <f>IFERROR(INDEX(Produits!$G$2:$G$3000,MATCH(F145,Produits!$A$2:$A$3000,0)),"")</f>
        <v/>
      </c>
      <c r="J145" s="62" t="n">
        <v>0.01</v>
      </c>
      <c r="K145" s="59">
        <f>IF(OR(H145="",I145=""),"",ROUND(H145*I145*(1-J145),2))</f>
        <v/>
      </c>
      <c r="L145" s="58" t="n">
        <v>45929</v>
      </c>
      <c r="M145" s="58" t="n">
        <v>45931</v>
      </c>
      <c r="N145" s="60">
        <f>IF(M145="","",MAX(0,M145-L145))</f>
        <v/>
      </c>
      <c r="O145" s="57" t="inlineStr">
        <is>
          <t>Facturée</t>
        </is>
      </c>
      <c r="P145" s="57" t="inlineStr">
        <is>
          <t>U005</t>
        </is>
      </c>
    </row>
    <row r="146" ht="15" customHeight="1" s="34">
      <c r="A146" s="57" t="inlineStr">
        <is>
          <t>CMD-2025-0145</t>
        </is>
      </c>
      <c r="B146" s="57" t="inlineStr">
        <is>
          <t>PO-IPS-37381</t>
        </is>
      </c>
      <c r="C146" s="58" t="n">
        <v>45917</v>
      </c>
      <c r="D146" s="57" t="inlineStr">
        <is>
          <t>E023</t>
        </is>
      </c>
      <c r="E146" s="57">
        <f>IFERROR(INDEX(Entreprises!$B$2:$B$3000,MATCH(D146,Entreprises!$A$2:$A$3000,0)),"")</f>
        <v/>
      </c>
      <c r="F146" s="57" t="inlineStr">
        <is>
          <t>P001</t>
        </is>
      </c>
      <c r="G146" s="57">
        <f>IFERROR(INDEX(Produits!$C$2:$C$3000,MATCH(F146,Produits!$A$2:$A$3000,0)),"")</f>
        <v/>
      </c>
      <c r="H146" s="60" t="n">
        <v>105</v>
      </c>
      <c r="I146" s="59">
        <f>IFERROR(INDEX(Produits!$G$2:$G$3000,MATCH(F146,Produits!$A$2:$A$3000,0)),"")</f>
        <v/>
      </c>
      <c r="J146" s="62" t="n">
        <v>0.05</v>
      </c>
      <c r="K146" s="59">
        <f>IF(OR(H146="",I146=""),"",ROUND(H146*I146*(1-J146),2))</f>
        <v/>
      </c>
      <c r="L146" s="58" t="n">
        <v>45931</v>
      </c>
      <c r="M146" s="58" t="n">
        <v>45933</v>
      </c>
      <c r="N146" s="60">
        <f>IF(M146="","",MAX(0,M146-L146))</f>
        <v/>
      </c>
      <c r="O146" s="57" t="inlineStr">
        <is>
          <t>Facturée</t>
        </is>
      </c>
      <c r="P146" s="57" t="inlineStr">
        <is>
          <t>U006</t>
        </is>
      </c>
    </row>
    <row r="147" ht="15" customHeight="1" s="34">
      <c r="A147" s="57" t="inlineStr">
        <is>
          <t>CMD-2025-0146</t>
        </is>
      </c>
      <c r="B147" s="57" t="inlineStr">
        <is>
          <t>PO-BIO-54863</t>
        </is>
      </c>
      <c r="C147" s="58" t="n">
        <v>45922</v>
      </c>
      <c r="D147" s="57" t="inlineStr">
        <is>
          <t>E012</t>
        </is>
      </c>
      <c r="E147" s="57">
        <f>IFERROR(INDEX(Entreprises!$B$2:$B$3000,MATCH(D147,Entreprises!$A$2:$A$3000,0)),"")</f>
        <v/>
      </c>
      <c r="F147" s="57" t="inlineStr">
        <is>
          <t>P004</t>
        </is>
      </c>
      <c r="G147" s="57">
        <f>IFERROR(INDEX(Produits!$C$2:$C$3000,MATCH(F147,Produits!$A$2:$A$3000,0)),"")</f>
        <v/>
      </c>
      <c r="H147" s="60" t="n">
        <v>125</v>
      </c>
      <c r="I147" s="59">
        <f>IFERROR(INDEX(Produits!$G$2:$G$3000,MATCH(F147,Produits!$A$2:$A$3000,0)),"")</f>
        <v/>
      </c>
      <c r="J147" s="62" t="n">
        <v>0.07000000000000001</v>
      </c>
      <c r="K147" s="59">
        <f>IF(OR(H147="",I147=""),"",ROUND(H147*I147*(1-J147),2))</f>
        <v/>
      </c>
      <c r="L147" s="58" t="n">
        <v>45936</v>
      </c>
      <c r="M147" s="58" t="n">
        <v>45939</v>
      </c>
      <c r="N147" s="60">
        <f>IF(M147="","",MAX(0,M147-L147))</f>
        <v/>
      </c>
      <c r="O147" s="57" t="inlineStr">
        <is>
          <t>Facturée</t>
        </is>
      </c>
      <c r="P147" s="57" t="inlineStr">
        <is>
          <t>U004</t>
        </is>
      </c>
    </row>
    <row r="148" ht="15" customHeight="1" s="34">
      <c r="A148" s="57" t="inlineStr">
        <is>
          <t>CMD-2025-0147</t>
        </is>
      </c>
      <c r="B148" s="57" t="inlineStr">
        <is>
          <t>PO-LOR-24287</t>
        </is>
      </c>
      <c r="C148" s="58" t="n">
        <v>45926</v>
      </c>
      <c r="D148" s="57" t="inlineStr">
        <is>
          <t>E027</t>
        </is>
      </c>
      <c r="E148" s="57">
        <f>IFERROR(INDEX(Entreprises!$B$2:$B$3000,MATCH(D148,Entreprises!$A$2:$A$3000,0)),"")</f>
        <v/>
      </c>
      <c r="F148" s="57" t="inlineStr">
        <is>
          <t>P008</t>
        </is>
      </c>
      <c r="G148" s="57">
        <f>IFERROR(INDEX(Produits!$C$2:$C$3000,MATCH(F148,Produits!$A$2:$A$3000,0)),"")</f>
        <v/>
      </c>
      <c r="H148" s="60" t="n">
        <v>231</v>
      </c>
      <c r="I148" s="59">
        <f>IFERROR(INDEX(Produits!$G$2:$G$3000,MATCH(F148,Produits!$A$2:$A$3000,0)),"")</f>
        <v/>
      </c>
      <c r="J148" s="62" t="n">
        <v>0.08</v>
      </c>
      <c r="K148" s="59">
        <f>IF(OR(H148="",I148=""),"",ROUND(H148*I148*(1-J148),2))</f>
        <v/>
      </c>
      <c r="L148" s="58" t="n">
        <v>45940</v>
      </c>
      <c r="M148" s="58" t="n">
        <v>45943</v>
      </c>
      <c r="N148" s="60">
        <f>IF(M148="","",MAX(0,M148-L148))</f>
        <v/>
      </c>
      <c r="O148" s="57" t="inlineStr">
        <is>
          <t>Facturée</t>
        </is>
      </c>
      <c r="P148" s="57" t="inlineStr">
        <is>
          <t>U007</t>
        </is>
      </c>
    </row>
    <row r="149" ht="15" customHeight="1" s="34">
      <c r="A149" s="57" t="inlineStr">
        <is>
          <t>CMD-2025-0148</t>
        </is>
      </c>
      <c r="B149" s="57" t="inlineStr">
        <is>
          <t>PO-KRO-24996</t>
        </is>
      </c>
      <c r="C149" s="58" t="n">
        <v>45929</v>
      </c>
      <c r="D149" s="57" t="inlineStr">
        <is>
          <t>E011</t>
        </is>
      </c>
      <c r="E149" s="57">
        <f>IFERROR(INDEX(Entreprises!$B$2:$B$3000,MATCH(D149,Entreprises!$A$2:$A$3000,0)),"")</f>
        <v/>
      </c>
      <c r="F149" s="57" t="inlineStr">
        <is>
          <t>P007</t>
        </is>
      </c>
      <c r="G149" s="57">
        <f>IFERROR(INDEX(Produits!$C$2:$C$3000,MATCH(F149,Produits!$A$2:$A$3000,0)),"")</f>
        <v/>
      </c>
      <c r="H149" s="60" t="n">
        <v>49</v>
      </c>
      <c r="I149" s="59">
        <f>IFERROR(INDEX(Produits!$G$2:$G$3000,MATCH(F149,Produits!$A$2:$A$3000,0)),"")</f>
        <v/>
      </c>
      <c r="J149" s="62" t="n">
        <v>0.06</v>
      </c>
      <c r="K149" s="59">
        <f>IF(OR(H149="",I149=""),"",ROUND(H149*I149*(1-J149),2))</f>
        <v/>
      </c>
      <c r="L149" s="58" t="n">
        <v>45943</v>
      </c>
      <c r="M149" s="58" t="n">
        <v>45943</v>
      </c>
      <c r="N149" s="60">
        <f>IF(M149="","",MAX(0,M149-L149))</f>
        <v/>
      </c>
      <c r="O149" s="57" t="inlineStr">
        <is>
          <t>Facturée</t>
        </is>
      </c>
      <c r="P149" s="57" t="inlineStr">
        <is>
          <t>U003</t>
        </is>
      </c>
    </row>
    <row r="150" ht="15" customHeight="1" s="34">
      <c r="A150" s="57" t="inlineStr">
        <is>
          <t>CMD-2025-0149</t>
        </is>
      </c>
      <c r="B150" s="57" t="inlineStr">
        <is>
          <t>PO-PER-92969</t>
        </is>
      </c>
      <c r="C150" s="58" t="n">
        <v>45929</v>
      </c>
      <c r="D150" s="57" t="inlineStr">
        <is>
          <t>E025</t>
        </is>
      </c>
      <c r="E150" s="57">
        <f>IFERROR(INDEX(Entreprises!$B$2:$B$3000,MATCH(D150,Entreprises!$A$2:$A$3000,0)),"")</f>
        <v/>
      </c>
      <c r="F150" s="57" t="inlineStr">
        <is>
          <t>P005</t>
        </is>
      </c>
      <c r="G150" s="57">
        <f>IFERROR(INDEX(Produits!$C$2:$C$3000,MATCH(F150,Produits!$A$2:$A$3000,0)),"")</f>
        <v/>
      </c>
      <c r="H150" s="60" t="n">
        <v>55</v>
      </c>
      <c r="I150" s="59">
        <f>IFERROR(INDEX(Produits!$G$2:$G$3000,MATCH(F150,Produits!$A$2:$A$3000,0)),"")</f>
        <v/>
      </c>
      <c r="J150" s="62" t="n">
        <v>0.06</v>
      </c>
      <c r="K150" s="59">
        <f>IF(OR(H150="",I150=""),"",ROUND(H150*I150*(1-J150),2))</f>
        <v/>
      </c>
      <c r="L150" s="58" t="n">
        <v>45943</v>
      </c>
      <c r="M150" s="58" t="n">
        <v>45943</v>
      </c>
      <c r="N150" s="60">
        <f>IF(M150="","",MAX(0,M150-L150))</f>
        <v/>
      </c>
      <c r="O150" s="57" t="inlineStr">
        <is>
          <t>Facturée</t>
        </is>
      </c>
      <c r="P150" s="57" t="inlineStr">
        <is>
          <t>U007</t>
        </is>
      </c>
    </row>
    <row r="151" ht="15" customHeight="1" s="34">
      <c r="A151" s="57" t="inlineStr">
        <is>
          <t>CMD-2025-0150</t>
        </is>
      </c>
      <c r="B151" s="57" t="inlineStr">
        <is>
          <t>PO-BOI-89467</t>
        </is>
      </c>
      <c r="C151" s="58" t="n">
        <v>45933</v>
      </c>
      <c r="D151" s="57" t="inlineStr">
        <is>
          <t>E013</t>
        </is>
      </c>
      <c r="E151" s="57">
        <f>IFERROR(INDEX(Entreprises!$B$2:$B$3000,MATCH(D151,Entreprises!$A$2:$A$3000,0)),"")</f>
        <v/>
      </c>
      <c r="F151" s="57" t="inlineStr">
        <is>
          <t>P002</t>
        </is>
      </c>
      <c r="G151" s="57">
        <f>IFERROR(INDEX(Produits!$C$2:$C$3000,MATCH(F151,Produits!$A$2:$A$3000,0)),"")</f>
        <v/>
      </c>
      <c r="H151" s="60" t="n">
        <v>162</v>
      </c>
      <c r="I151" s="59">
        <f>IFERROR(INDEX(Produits!$G$2:$G$3000,MATCH(F151,Produits!$A$2:$A$3000,0)),"")</f>
        <v/>
      </c>
      <c r="J151" s="62" t="n">
        <v>0.04</v>
      </c>
      <c r="K151" s="59">
        <f>IF(OR(H151="",I151=""),"",ROUND(H151*I151*(1-J151),2))</f>
        <v/>
      </c>
      <c r="L151" s="58" t="n">
        <v>45947</v>
      </c>
      <c r="M151" s="58" t="n">
        <v>45950</v>
      </c>
      <c r="N151" s="60">
        <f>IF(M151="","",MAX(0,M151-L151))</f>
        <v/>
      </c>
      <c r="O151" s="57" t="inlineStr">
        <is>
          <t>Facturée</t>
        </is>
      </c>
      <c r="P151" s="57" t="inlineStr">
        <is>
          <t>U004</t>
        </is>
      </c>
    </row>
    <row r="152" ht="15" customHeight="1" s="34">
      <c r="A152" s="57" t="inlineStr">
        <is>
          <t>CMD-2025-0151</t>
        </is>
      </c>
      <c r="B152" s="57" t="inlineStr">
        <is>
          <t>PO-LAU-69945</t>
        </is>
      </c>
      <c r="C152" s="58" t="n">
        <v>45936</v>
      </c>
      <c r="D152" s="57" t="inlineStr">
        <is>
          <t>E009</t>
        </is>
      </c>
      <c r="E152" s="57">
        <f>IFERROR(INDEX(Entreprises!$B$2:$B$3000,MATCH(D152,Entreprises!$A$2:$A$3000,0)),"")</f>
        <v/>
      </c>
      <c r="F152" s="57" t="inlineStr">
        <is>
          <t>P007</t>
        </is>
      </c>
      <c r="G152" s="57">
        <f>IFERROR(INDEX(Produits!$C$2:$C$3000,MATCH(F152,Produits!$A$2:$A$3000,0)),"")</f>
        <v/>
      </c>
      <c r="H152" s="60" t="n">
        <v>36</v>
      </c>
      <c r="I152" s="59">
        <f>IFERROR(INDEX(Produits!$G$2:$G$3000,MATCH(F152,Produits!$A$2:$A$3000,0)),"")</f>
        <v/>
      </c>
      <c r="J152" s="62" t="n">
        <v>0.04</v>
      </c>
      <c r="K152" s="59">
        <f>IF(OR(H152="",I152=""),"",ROUND(H152*I152*(1-J152),2))</f>
        <v/>
      </c>
      <c r="L152" s="58" t="n">
        <v>45950</v>
      </c>
      <c r="M152" s="58" t="n">
        <v>45950</v>
      </c>
      <c r="N152" s="60">
        <f>IF(M152="","",MAX(0,M152-L152))</f>
        <v/>
      </c>
      <c r="O152" s="57" t="inlineStr">
        <is>
          <t>Facturée</t>
        </is>
      </c>
      <c r="P152" s="57" t="inlineStr">
        <is>
          <t>U003</t>
        </is>
      </c>
    </row>
    <row r="153" ht="15" customHeight="1" s="34">
      <c r="A153" s="57" t="inlineStr">
        <is>
          <t>CMD-2025-0152</t>
        </is>
      </c>
      <c r="B153" s="57" t="inlineStr">
        <is>
          <t>PO-SAN-41653</t>
        </is>
      </c>
      <c r="C153" s="58" t="n">
        <v>45936</v>
      </c>
      <c r="D153" s="57" t="inlineStr">
        <is>
          <t>E022</t>
        </is>
      </c>
      <c r="E153" s="57">
        <f>IFERROR(INDEX(Entreprises!$B$2:$B$3000,MATCH(D153,Entreprises!$A$2:$A$3000,0)),"")</f>
        <v/>
      </c>
      <c r="F153" s="57" t="inlineStr">
        <is>
          <t>P001</t>
        </is>
      </c>
      <c r="G153" s="57">
        <f>IFERROR(INDEX(Produits!$C$2:$C$3000,MATCH(F153,Produits!$A$2:$A$3000,0)),"")</f>
        <v/>
      </c>
      <c r="H153" s="60" t="n">
        <v>504</v>
      </c>
      <c r="I153" s="59">
        <f>IFERROR(INDEX(Produits!$G$2:$G$3000,MATCH(F153,Produits!$A$2:$A$3000,0)),"")</f>
        <v/>
      </c>
      <c r="J153" s="62" t="n">
        <v>0.08</v>
      </c>
      <c r="K153" s="59">
        <f>IF(OR(H153="",I153=""),"",ROUND(H153*I153*(1-J153),2))</f>
        <v/>
      </c>
      <c r="L153" s="58" t="n">
        <v>45950</v>
      </c>
      <c r="M153" s="58" t="n">
        <v>45950</v>
      </c>
      <c r="N153" s="60">
        <f>IF(M153="","",MAX(0,M153-L153))</f>
        <v/>
      </c>
      <c r="O153" s="57" t="inlineStr">
        <is>
          <t>Facturée</t>
        </is>
      </c>
      <c r="P153" s="57" t="inlineStr">
        <is>
          <t>U006</t>
        </is>
      </c>
    </row>
    <row r="154" ht="15" customHeight="1" s="34">
      <c r="A154" s="57" t="inlineStr">
        <is>
          <t>CMD-2025-0153</t>
        </is>
      </c>
      <c r="B154" s="57" t="inlineStr">
        <is>
          <t>PO-DAN-38117</t>
        </is>
      </c>
      <c r="C154" s="58" t="n">
        <v>45936</v>
      </c>
      <c r="D154" s="57" t="inlineStr">
        <is>
          <t>E026</t>
        </is>
      </c>
      <c r="E154" s="57">
        <f>IFERROR(INDEX(Entreprises!$B$2:$B$3000,MATCH(D154,Entreprises!$A$2:$A$3000,0)),"")</f>
        <v/>
      </c>
      <c r="F154" s="57" t="inlineStr">
        <is>
          <t>P007</t>
        </is>
      </c>
      <c r="G154" s="57">
        <f>IFERROR(INDEX(Produits!$C$2:$C$3000,MATCH(F154,Produits!$A$2:$A$3000,0)),"")</f>
        <v/>
      </c>
      <c r="H154" s="60" t="n">
        <v>95</v>
      </c>
      <c r="I154" s="59">
        <f>IFERROR(INDEX(Produits!$G$2:$G$3000,MATCH(F154,Produits!$A$2:$A$3000,0)),"")</f>
        <v/>
      </c>
      <c r="J154" s="62" t="n">
        <v>0.05</v>
      </c>
      <c r="K154" s="59">
        <f>IF(OR(H154="",I154=""),"",ROUND(H154*I154*(1-J154),2))</f>
        <v/>
      </c>
      <c r="L154" s="58" t="n">
        <v>45950</v>
      </c>
      <c r="M154" s="58" t="n">
        <v>45952</v>
      </c>
      <c r="N154" s="60">
        <f>IF(M154="","",MAX(0,M154-L154))</f>
        <v/>
      </c>
      <c r="O154" s="57" t="inlineStr">
        <is>
          <t>Facturée</t>
        </is>
      </c>
      <c r="P154" s="57" t="inlineStr">
        <is>
          <t>U007</t>
        </is>
      </c>
    </row>
    <row r="155" ht="15" customHeight="1" s="34">
      <c r="A155" s="57" t="inlineStr">
        <is>
          <t>CMD-2025-0154</t>
        </is>
      </c>
      <c r="B155" s="57" t="inlineStr">
        <is>
          <t>PO-BON-77648</t>
        </is>
      </c>
      <c r="C155" s="58" t="n">
        <v>45944</v>
      </c>
      <c r="D155" s="57" t="inlineStr">
        <is>
          <t>E001</t>
        </is>
      </c>
      <c r="E155" s="57">
        <f>IFERROR(INDEX(Entreprises!$B$2:$B$3000,MATCH(D155,Entreprises!$A$2:$A$3000,0)),"")</f>
        <v/>
      </c>
      <c r="F155" s="57" t="inlineStr">
        <is>
          <t>P007</t>
        </is>
      </c>
      <c r="G155" s="57">
        <f>IFERROR(INDEX(Produits!$C$2:$C$3000,MATCH(F155,Produits!$A$2:$A$3000,0)),"")</f>
        <v/>
      </c>
      <c r="H155" s="60" t="n">
        <v>50</v>
      </c>
      <c r="I155" s="59">
        <f>IFERROR(INDEX(Produits!$G$2:$G$3000,MATCH(F155,Produits!$A$2:$A$3000,0)),"")</f>
        <v/>
      </c>
      <c r="J155" s="62" t="n">
        <v>0.08</v>
      </c>
      <c r="K155" s="59">
        <f>IF(OR(H155="",I155=""),"",ROUND(H155*I155*(1-J155),2))</f>
        <v/>
      </c>
      <c r="L155" s="58" t="n">
        <v>45958</v>
      </c>
      <c r="M155" s="58" t="n">
        <v>45957</v>
      </c>
      <c r="N155" s="60">
        <f>IF(M155="","",MAX(0,M155-L155))</f>
        <v/>
      </c>
      <c r="O155" s="57" t="inlineStr">
        <is>
          <t>Facturée</t>
        </is>
      </c>
      <c r="P155" s="57" t="inlineStr">
        <is>
          <t>U002</t>
        </is>
      </c>
    </row>
    <row r="156" ht="15" customHeight="1" s="34">
      <c r="A156" s="57" t="inlineStr">
        <is>
          <t>CMD-2025-0155</t>
        </is>
      </c>
      <c r="B156" s="57" t="inlineStr">
        <is>
          <t>PO-GUE-10255</t>
        </is>
      </c>
      <c r="C156" s="58" t="n">
        <v>45944</v>
      </c>
      <c r="D156" s="57" t="inlineStr">
        <is>
          <t>E003</t>
        </is>
      </c>
      <c r="E156" s="57">
        <f>IFERROR(INDEX(Entreprises!$B$2:$B$3000,MATCH(D156,Entreprises!$A$2:$A$3000,0)),"")</f>
        <v/>
      </c>
      <c r="F156" s="57" t="inlineStr">
        <is>
          <t>P004</t>
        </is>
      </c>
      <c r="G156" s="57">
        <f>IFERROR(INDEX(Produits!$C$2:$C$3000,MATCH(F156,Produits!$A$2:$A$3000,0)),"")</f>
        <v/>
      </c>
      <c r="H156" s="60" t="n">
        <v>66</v>
      </c>
      <c r="I156" s="59">
        <f>IFERROR(INDEX(Produits!$G$2:$G$3000,MATCH(F156,Produits!$A$2:$A$3000,0)),"")</f>
        <v/>
      </c>
      <c r="J156" s="62" t="n">
        <v>0.04</v>
      </c>
      <c r="K156" s="59">
        <f>IF(OR(H156="",I156=""),"",ROUND(H156*I156*(1-J156),2))</f>
        <v/>
      </c>
      <c r="L156" s="58" t="n">
        <v>45958</v>
      </c>
      <c r="M156" s="58" t="n">
        <v>45959</v>
      </c>
      <c r="N156" s="60">
        <f>IF(M156="","",MAX(0,M156-L156))</f>
        <v/>
      </c>
      <c r="O156" s="57" t="inlineStr">
        <is>
          <t>Facturée</t>
        </is>
      </c>
      <c r="P156" s="57" t="inlineStr">
        <is>
          <t>U002</t>
        </is>
      </c>
    </row>
    <row r="157" ht="15" customHeight="1" s="34">
      <c r="A157" s="57" t="inlineStr">
        <is>
          <t>CMD-2025-0156</t>
        </is>
      </c>
      <c r="B157" s="57" t="inlineStr">
        <is>
          <t>PO-SEB-81558</t>
        </is>
      </c>
      <c r="C157" s="58" t="n">
        <v>45953</v>
      </c>
      <c r="D157" s="57" t="inlineStr">
        <is>
          <t>E014</t>
        </is>
      </c>
      <c r="E157" s="57">
        <f>IFERROR(INDEX(Entreprises!$B$2:$B$3000,MATCH(D157,Entreprises!$A$2:$A$3000,0)),"")</f>
        <v/>
      </c>
      <c r="F157" s="57" t="inlineStr">
        <is>
          <t>P007</t>
        </is>
      </c>
      <c r="G157" s="57">
        <f>IFERROR(INDEX(Produits!$C$2:$C$3000,MATCH(F157,Produits!$A$2:$A$3000,0)),"")</f>
        <v/>
      </c>
      <c r="H157" s="60" t="n">
        <v>86</v>
      </c>
      <c r="I157" s="59">
        <f>IFERROR(INDEX(Produits!$G$2:$G$3000,MATCH(F157,Produits!$A$2:$A$3000,0)),"")</f>
        <v/>
      </c>
      <c r="J157" s="62" t="n">
        <v>0.07000000000000001</v>
      </c>
      <c r="K157" s="59">
        <f>IF(OR(H157="",I157=""),"",ROUND(H157*I157*(1-J157),2))</f>
        <v/>
      </c>
      <c r="L157" s="58" t="n">
        <v>45967</v>
      </c>
      <c r="M157" s="58" t="n">
        <v>45971</v>
      </c>
      <c r="N157" s="60">
        <f>IF(M157="","",MAX(0,M157-L157))</f>
        <v/>
      </c>
      <c r="O157" s="57" t="inlineStr">
        <is>
          <t>Facturée</t>
        </is>
      </c>
      <c r="P157" s="57" t="inlineStr">
        <is>
          <t>U004</t>
        </is>
      </c>
    </row>
    <row r="158" ht="15" customHeight="1" s="34">
      <c r="A158" s="57" t="inlineStr">
        <is>
          <t>CMD-2025-0157</t>
        </is>
      </c>
      <c r="B158" s="57" t="inlineStr">
        <is>
          <t>PO-LEG-46067</t>
        </is>
      </c>
      <c r="C158" s="58" t="n">
        <v>45954</v>
      </c>
      <c r="D158" s="57" t="inlineStr">
        <is>
          <t>E021</t>
        </is>
      </c>
      <c r="E158" s="57">
        <f>IFERROR(INDEX(Entreprises!$B$2:$B$3000,MATCH(D158,Entreprises!$A$2:$A$3000,0)),"")</f>
        <v/>
      </c>
      <c r="F158" s="57" t="inlineStr">
        <is>
          <t>P008</t>
        </is>
      </c>
      <c r="G158" s="57">
        <f>IFERROR(INDEX(Produits!$C$2:$C$3000,MATCH(F158,Produits!$A$2:$A$3000,0)),"")</f>
        <v/>
      </c>
      <c r="H158" s="60" t="n">
        <v>90</v>
      </c>
      <c r="I158" s="59">
        <f>IFERROR(INDEX(Produits!$G$2:$G$3000,MATCH(F158,Produits!$A$2:$A$3000,0)),"")</f>
        <v/>
      </c>
      <c r="J158" s="62" t="n">
        <v>0.07000000000000001</v>
      </c>
      <c r="K158" s="59">
        <f>IF(OR(H158="",I158=""),"",ROUND(H158*I158*(1-J158),2))</f>
        <v/>
      </c>
      <c r="L158" s="58" t="n">
        <v>45968</v>
      </c>
      <c r="M158" s="58" t="n">
        <v>45968</v>
      </c>
      <c r="N158" s="60">
        <f>IF(M158="","",MAX(0,M158-L158))</f>
        <v/>
      </c>
      <c r="O158" s="57" t="inlineStr">
        <is>
          <t>Facturée</t>
        </is>
      </c>
      <c r="P158" s="57" t="inlineStr">
        <is>
          <t>U005</t>
        </is>
      </c>
    </row>
    <row r="159" ht="15" customHeight="1" s="34">
      <c r="A159" s="57" t="inlineStr">
        <is>
          <t>CMD-2025-0158</t>
        </is>
      </c>
      <c r="B159" s="57" t="inlineStr">
        <is>
          <t>PO-LES-43998</t>
        </is>
      </c>
      <c r="C159" s="58" t="n">
        <v>45957</v>
      </c>
      <c r="D159" s="57" t="inlineStr">
        <is>
          <t>E002</t>
        </is>
      </c>
      <c r="E159" s="57">
        <f>IFERROR(INDEX(Entreprises!$B$2:$B$3000,MATCH(D159,Entreprises!$A$2:$A$3000,0)),"")</f>
        <v/>
      </c>
      <c r="F159" s="57" t="inlineStr">
        <is>
          <t>P003</t>
        </is>
      </c>
      <c r="G159" s="57">
        <f>IFERROR(INDEX(Produits!$C$2:$C$3000,MATCH(F159,Produits!$A$2:$A$3000,0)),"")</f>
        <v/>
      </c>
      <c r="H159" s="60" t="n">
        <v>142</v>
      </c>
      <c r="I159" s="59">
        <f>IFERROR(INDEX(Produits!$G$2:$G$3000,MATCH(F159,Produits!$A$2:$A$3000,0)),"")</f>
        <v/>
      </c>
      <c r="J159" s="62" t="n">
        <v>0.06</v>
      </c>
      <c r="K159" s="59">
        <f>IF(OR(H159="",I159=""),"",ROUND(H159*I159*(1-J159),2))</f>
        <v/>
      </c>
      <c r="L159" s="58" t="n">
        <v>45971</v>
      </c>
      <c r="M159" s="58" t="n">
        <v>45971</v>
      </c>
      <c r="N159" s="60">
        <f>IF(M159="","",MAX(0,M159-L159))</f>
        <v/>
      </c>
      <c r="O159" s="57" t="inlineStr">
        <is>
          <t>Facturée</t>
        </is>
      </c>
      <c r="P159" s="57" t="inlineStr">
        <is>
          <t>U002</t>
        </is>
      </c>
    </row>
    <row r="160" ht="15" customHeight="1" s="34">
      <c r="A160" s="57" t="inlineStr">
        <is>
          <t>CMD-2025-0159</t>
        </is>
      </c>
      <c r="B160" s="57" t="inlineStr">
        <is>
          <t>PO-PIE-90025</t>
        </is>
      </c>
      <c r="C160" s="58" t="n">
        <v>45957</v>
      </c>
      <c r="D160" s="57" t="inlineStr">
        <is>
          <t>E019</t>
        </is>
      </c>
      <c r="E160" s="57">
        <f>IFERROR(INDEX(Entreprises!$B$2:$B$3000,MATCH(D160,Entreprises!$A$2:$A$3000,0)),"")</f>
        <v/>
      </c>
      <c r="F160" s="57" t="inlineStr">
        <is>
          <t>P002</t>
        </is>
      </c>
      <c r="G160" s="57">
        <f>IFERROR(INDEX(Produits!$C$2:$C$3000,MATCH(F160,Produits!$A$2:$A$3000,0)),"")</f>
        <v/>
      </c>
      <c r="H160" s="60" t="n">
        <v>403</v>
      </c>
      <c r="I160" s="59">
        <f>IFERROR(INDEX(Produits!$G$2:$G$3000,MATCH(F160,Produits!$A$2:$A$3000,0)),"")</f>
        <v/>
      </c>
      <c r="J160" s="62" t="n">
        <v>0.08</v>
      </c>
      <c r="K160" s="59">
        <f>IF(OR(H160="",I160=""),"",ROUND(H160*I160*(1-J160),2))</f>
        <v/>
      </c>
      <c r="L160" s="58" t="n">
        <v>45971</v>
      </c>
      <c r="M160" s="58" t="n">
        <v>45973</v>
      </c>
      <c r="N160" s="60">
        <f>IF(M160="","",MAX(0,M160-L160))</f>
        <v/>
      </c>
      <c r="O160" s="57" t="inlineStr">
        <is>
          <t>Facturée</t>
        </is>
      </c>
      <c r="P160" s="57" t="inlineStr">
        <is>
          <t>U005</t>
        </is>
      </c>
    </row>
    <row r="161" ht="15" customHeight="1" s="34">
      <c r="A161" s="57" t="inlineStr">
        <is>
          <t>CMD-2025-0160</t>
        </is>
      </c>
      <c r="B161" s="57" t="inlineStr">
        <is>
          <t>PO-SCH-22317</t>
        </is>
      </c>
      <c r="C161" s="58" t="n">
        <v>45957</v>
      </c>
      <c r="D161" s="57" t="inlineStr">
        <is>
          <t>E030</t>
        </is>
      </c>
      <c r="E161" s="57">
        <f>IFERROR(INDEX(Entreprises!$B$2:$B$3000,MATCH(D161,Entreprises!$A$2:$A$3000,0)),"")</f>
        <v/>
      </c>
      <c r="F161" s="57" t="inlineStr">
        <is>
          <t>P007</t>
        </is>
      </c>
      <c r="G161" s="57">
        <f>IFERROR(INDEX(Produits!$C$2:$C$3000,MATCH(F161,Produits!$A$2:$A$3000,0)),"")</f>
        <v/>
      </c>
      <c r="H161" s="60" t="n">
        <v>68</v>
      </c>
      <c r="I161" s="59">
        <f>IFERROR(INDEX(Produits!$G$2:$G$3000,MATCH(F161,Produits!$A$2:$A$3000,0)),"")</f>
        <v/>
      </c>
      <c r="J161" s="62" t="n">
        <v>0.06</v>
      </c>
      <c r="K161" s="59">
        <f>IF(OR(H161="",I161=""),"",ROUND(H161*I161*(1-J161),2))</f>
        <v/>
      </c>
      <c r="L161" s="58" t="n">
        <v>45971</v>
      </c>
      <c r="M161" s="58" t="n">
        <v>45971</v>
      </c>
      <c r="N161" s="60">
        <f>IF(M161="","",MAX(0,M161-L161))</f>
        <v/>
      </c>
      <c r="O161" s="57" t="inlineStr">
        <is>
          <t>Facturée</t>
        </is>
      </c>
      <c r="P161" s="57" t="inlineStr">
        <is>
          <t>U007</t>
        </is>
      </c>
    </row>
    <row r="162" ht="15" customHeight="1" s="34">
      <c r="A162" s="57" t="inlineStr">
        <is>
          <t>CMD-2025-0161</t>
        </is>
      </c>
      <c r="B162" s="57" t="inlineStr">
        <is>
          <t>PO-MOE-60379</t>
        </is>
      </c>
      <c r="C162" s="58" t="n">
        <v>45958</v>
      </c>
      <c r="D162" s="57" t="inlineStr">
        <is>
          <t>E008</t>
        </is>
      </c>
      <c r="E162" s="57">
        <f>IFERROR(INDEX(Entreprises!$B$2:$B$3000,MATCH(D162,Entreprises!$A$2:$A$3000,0)),"")</f>
        <v/>
      </c>
      <c r="F162" s="57" t="inlineStr">
        <is>
          <t>P006</t>
        </is>
      </c>
      <c r="G162" s="57">
        <f>IFERROR(INDEX(Produits!$C$2:$C$3000,MATCH(F162,Produits!$A$2:$A$3000,0)),"")</f>
        <v/>
      </c>
      <c r="H162" s="60" t="n">
        <v>54</v>
      </c>
      <c r="I162" s="59">
        <f>IFERROR(INDEX(Produits!$G$2:$G$3000,MATCH(F162,Produits!$A$2:$A$3000,0)),"")</f>
        <v/>
      </c>
      <c r="J162" s="62" t="n">
        <v>0.05</v>
      </c>
      <c r="K162" s="59">
        <f>IF(OR(H162="",I162=""),"",ROUND(H162*I162*(1-J162),2))</f>
        <v/>
      </c>
      <c r="L162" s="58" t="n">
        <v>45972</v>
      </c>
      <c r="M162" s="58" t="n">
        <v>45975</v>
      </c>
      <c r="N162" s="60">
        <f>IF(M162="","",MAX(0,M162-L162))</f>
        <v/>
      </c>
      <c r="O162" s="57" t="inlineStr">
        <is>
          <t>Facturée</t>
        </is>
      </c>
      <c r="P162" s="57" t="inlineStr">
        <is>
          <t>U003</t>
        </is>
      </c>
    </row>
    <row r="163" ht="15" customHeight="1" s="34">
      <c r="A163" s="57" t="inlineStr">
        <is>
          <t>CMD-2025-0162</t>
        </is>
      </c>
      <c r="B163" s="57" t="inlineStr">
        <is>
          <t>PO-IPS-91256</t>
        </is>
      </c>
      <c r="C163" s="58" t="n">
        <v>45959</v>
      </c>
      <c r="D163" s="57" t="inlineStr">
        <is>
          <t>E023</t>
        </is>
      </c>
      <c r="E163" s="57">
        <f>IFERROR(INDEX(Entreprises!$B$2:$B$3000,MATCH(D163,Entreprises!$A$2:$A$3000,0)),"")</f>
        <v/>
      </c>
      <c r="F163" s="57" t="inlineStr">
        <is>
          <t>P004</t>
        </is>
      </c>
      <c r="G163" s="57">
        <f>IFERROR(INDEX(Produits!$C$2:$C$3000,MATCH(F163,Produits!$A$2:$A$3000,0)),"")</f>
        <v/>
      </c>
      <c r="H163" s="60" t="n">
        <v>91</v>
      </c>
      <c r="I163" s="59">
        <f>IFERROR(INDEX(Produits!$G$2:$G$3000,MATCH(F163,Produits!$A$2:$A$3000,0)),"")</f>
        <v/>
      </c>
      <c r="J163" s="62" t="n">
        <v>0.08</v>
      </c>
      <c r="K163" s="59">
        <f>IF(OR(H163="",I163=""),"",ROUND(H163*I163*(1-J163),2))</f>
        <v/>
      </c>
      <c r="L163" s="58" t="n">
        <v>45973</v>
      </c>
      <c r="M163" s="58" t="n">
        <v>45975</v>
      </c>
      <c r="N163" s="60">
        <f>IF(M163="","",MAX(0,M163-L163))</f>
        <v/>
      </c>
      <c r="O163" s="57" t="inlineStr">
        <is>
          <t>Facturée</t>
        </is>
      </c>
      <c r="P163" s="57" t="inlineStr">
        <is>
          <t>U006</t>
        </is>
      </c>
    </row>
    <row r="164" ht="15" customHeight="1" s="34">
      <c r="A164" s="57" t="inlineStr">
        <is>
          <t>CMD-2025-0163</t>
        </is>
      </c>
      <c r="B164" s="57" t="inlineStr">
        <is>
          <t>PO-MAI-38100</t>
        </is>
      </c>
      <c r="C164" s="58" t="n">
        <v>45964</v>
      </c>
      <c r="D164" s="57" t="inlineStr">
        <is>
          <t>E018</t>
        </is>
      </c>
      <c r="E164" s="57">
        <f>IFERROR(INDEX(Entreprises!$B$2:$B$3000,MATCH(D164,Entreprises!$A$2:$A$3000,0)),"")</f>
        <v/>
      </c>
      <c r="F164" s="57" t="inlineStr">
        <is>
          <t>P006</t>
        </is>
      </c>
      <c r="G164" s="57">
        <f>IFERROR(INDEX(Produits!$C$2:$C$3000,MATCH(F164,Produits!$A$2:$A$3000,0)),"")</f>
        <v/>
      </c>
      <c r="H164" s="60" t="n">
        <v>8</v>
      </c>
      <c r="I164" s="59">
        <f>IFERROR(INDEX(Produits!$G$2:$G$3000,MATCH(F164,Produits!$A$2:$A$3000,0)),"")</f>
        <v/>
      </c>
      <c r="J164" s="62" t="n">
        <v>0.02</v>
      </c>
      <c r="K164" s="59">
        <f>IF(OR(H164="",I164=""),"",ROUND(H164*I164*(1-J164),2))</f>
        <v/>
      </c>
      <c r="L164" s="58" t="n">
        <v>45978</v>
      </c>
      <c r="M164" s="58" t="n">
        <v>45978</v>
      </c>
      <c r="N164" s="60">
        <f>IF(M164="","",MAX(0,M164-L164))</f>
        <v/>
      </c>
      <c r="O164" s="57" t="inlineStr">
        <is>
          <t>Facturée</t>
        </is>
      </c>
      <c r="P164" s="57" t="inlineStr">
        <is>
          <t>U005</t>
        </is>
      </c>
    </row>
    <row r="165" ht="15" customHeight="1" s="34">
      <c r="A165" s="57" t="inlineStr">
        <is>
          <t>CMD-2025-0164</t>
        </is>
      </c>
      <c r="B165" s="57" t="inlineStr">
        <is>
          <t>PO-NEX-70000</t>
        </is>
      </c>
      <c r="C165" s="58" t="n">
        <v>45966</v>
      </c>
      <c r="D165" s="57" t="inlineStr">
        <is>
          <t>E007</t>
        </is>
      </c>
      <c r="E165" s="57">
        <f>IFERROR(INDEX(Entreprises!$B$2:$B$3000,MATCH(D165,Entreprises!$A$2:$A$3000,0)),"")</f>
        <v/>
      </c>
      <c r="F165" s="57" t="inlineStr">
        <is>
          <t>P003</t>
        </is>
      </c>
      <c r="G165" s="57">
        <f>IFERROR(INDEX(Produits!$C$2:$C$3000,MATCH(F165,Produits!$A$2:$A$3000,0)),"")</f>
        <v/>
      </c>
      <c r="H165" s="60" t="n">
        <v>59</v>
      </c>
      <c r="I165" s="59">
        <f>IFERROR(INDEX(Produits!$G$2:$G$3000,MATCH(F165,Produits!$A$2:$A$3000,0)),"")</f>
        <v/>
      </c>
      <c r="J165" s="62" t="n">
        <v>0.06</v>
      </c>
      <c r="K165" s="59">
        <f>IF(OR(H165="",I165=""),"",ROUND(H165*I165*(1-J165),2))</f>
        <v/>
      </c>
      <c r="L165" s="58" t="n">
        <v>45980</v>
      </c>
      <c r="M165" s="58" t="n">
        <v>45979</v>
      </c>
      <c r="N165" s="60">
        <f>IF(M165="","",MAX(0,M165-L165))</f>
        <v/>
      </c>
      <c r="O165" s="57" t="inlineStr">
        <is>
          <t>Facturée</t>
        </is>
      </c>
      <c r="P165" s="57" t="inlineStr">
        <is>
          <t>U002</t>
        </is>
      </c>
    </row>
    <row r="166" ht="15" customHeight="1" s="34">
      <c r="A166" s="57" t="inlineStr">
        <is>
          <t>CMD-2025-0165</t>
        </is>
      </c>
      <c r="B166" s="57" t="inlineStr">
        <is>
          <t>PO-KRO-60021</t>
        </is>
      </c>
      <c r="C166" s="58" t="n">
        <v>45971</v>
      </c>
      <c r="D166" s="57" t="inlineStr">
        <is>
          <t>E011</t>
        </is>
      </c>
      <c r="E166" s="57">
        <f>IFERROR(INDEX(Entreprises!$B$2:$B$3000,MATCH(D166,Entreprises!$A$2:$A$3000,0)),"")</f>
        <v/>
      </c>
      <c r="F166" s="57" t="inlineStr">
        <is>
          <t>P012</t>
        </is>
      </c>
      <c r="G166" s="57">
        <f>IFERROR(INDEX(Produits!$C$2:$C$3000,MATCH(F166,Produits!$A$2:$A$3000,0)),"")</f>
        <v/>
      </c>
      <c r="H166" s="60" t="n">
        <v>2</v>
      </c>
      <c r="I166" s="59">
        <f>IFERROR(INDEX(Produits!$G$2:$G$3000,MATCH(F166,Produits!$A$2:$A$3000,0)),"")</f>
        <v/>
      </c>
      <c r="J166" s="62" t="n">
        <v>0</v>
      </c>
      <c r="K166" s="59">
        <f>IF(OR(H166="",I166=""),"",ROUND(H166*I166*(1-J166),2))</f>
        <v/>
      </c>
      <c r="L166" s="58" t="n">
        <v>45978</v>
      </c>
      <c r="M166" s="58" t="n">
        <v>45978</v>
      </c>
      <c r="N166" s="60">
        <f>IF(M166="","",MAX(0,M166-L166))</f>
        <v/>
      </c>
      <c r="O166" s="57" t="inlineStr">
        <is>
          <t>Facturée</t>
        </is>
      </c>
      <c r="P166" s="57" t="inlineStr">
        <is>
          <t>U003</t>
        </is>
      </c>
    </row>
    <row r="167" ht="15" customHeight="1" s="34">
      <c r="A167" s="57" t="inlineStr">
        <is>
          <t>CMD-2025-0166</t>
        </is>
      </c>
      <c r="B167" s="57" t="inlineStr">
        <is>
          <t>PO-REM-21892</t>
        </is>
      </c>
      <c r="C167" s="58" t="n">
        <v>45972</v>
      </c>
      <c r="D167" s="57" t="inlineStr">
        <is>
          <t>E017</t>
        </is>
      </c>
      <c r="E167" s="57">
        <f>IFERROR(INDEX(Entreprises!$B$2:$B$3000,MATCH(D167,Entreprises!$A$2:$A$3000,0)),"")</f>
        <v/>
      </c>
      <c r="F167" s="57" t="inlineStr">
        <is>
          <t>P005</t>
        </is>
      </c>
      <c r="G167" s="57">
        <f>IFERROR(INDEX(Produits!$C$2:$C$3000,MATCH(F167,Produits!$A$2:$A$3000,0)),"")</f>
        <v/>
      </c>
      <c r="H167" s="60" t="n">
        <v>20</v>
      </c>
      <c r="I167" s="59">
        <f>IFERROR(INDEX(Produits!$G$2:$G$3000,MATCH(F167,Produits!$A$2:$A$3000,0)),"")</f>
        <v/>
      </c>
      <c r="J167" s="62" t="n">
        <v>0.06</v>
      </c>
      <c r="K167" s="59">
        <f>IF(OR(H167="",I167=""),"",ROUND(H167*I167*(1-J167),2))</f>
        <v/>
      </c>
      <c r="L167" s="58" t="n">
        <v>45986</v>
      </c>
      <c r="M167" s="58" t="n">
        <v>45986</v>
      </c>
      <c r="N167" s="60">
        <f>IF(M167="","",MAX(0,M167-L167))</f>
        <v/>
      </c>
      <c r="O167" s="57" t="inlineStr">
        <is>
          <t>Facturée</t>
        </is>
      </c>
      <c r="P167" s="57" t="inlineStr">
        <is>
          <t>U005</t>
        </is>
      </c>
    </row>
    <row r="168" ht="15" customHeight="1" s="34">
      <c r="A168" s="57" t="inlineStr">
        <is>
          <t>CMD-2025-0167</t>
        </is>
      </c>
      <c r="B168" s="57" t="inlineStr">
        <is>
          <t>PO-SAV-74162</t>
        </is>
      </c>
      <c r="C168" s="58" t="n">
        <v>45974</v>
      </c>
      <c r="D168" s="57" t="inlineStr">
        <is>
          <t>E028</t>
        </is>
      </c>
      <c r="E168" s="57">
        <f>IFERROR(INDEX(Entreprises!$B$2:$B$3000,MATCH(D168,Entreprises!$A$2:$A$3000,0)),"")</f>
        <v/>
      </c>
      <c r="F168" s="57" t="inlineStr">
        <is>
          <t>P003</t>
        </is>
      </c>
      <c r="G168" s="57">
        <f>IFERROR(INDEX(Produits!$C$2:$C$3000,MATCH(F168,Produits!$A$2:$A$3000,0)),"")</f>
        <v/>
      </c>
      <c r="H168" s="60" t="n">
        <v>117</v>
      </c>
      <c r="I168" s="59">
        <f>IFERROR(INDEX(Produits!$G$2:$G$3000,MATCH(F168,Produits!$A$2:$A$3000,0)),"")</f>
        <v/>
      </c>
      <c r="J168" s="62" t="n">
        <v>0.06</v>
      </c>
      <c r="K168" s="59">
        <f>IF(OR(H168="",I168=""),"",ROUND(H168*I168*(1-J168),2))</f>
        <v/>
      </c>
      <c r="L168" s="58" t="n">
        <v>45988</v>
      </c>
      <c r="M168" s="58" t="n">
        <v>45986</v>
      </c>
      <c r="N168" s="60">
        <f>IF(M168="","",MAX(0,M168-L168))</f>
        <v/>
      </c>
      <c r="O168" s="57" t="inlineStr">
        <is>
          <t>Facturée</t>
        </is>
      </c>
      <c r="P168" s="57" t="inlineStr">
        <is>
          <t>U007</t>
        </is>
      </c>
    </row>
    <row r="169" ht="15" customHeight="1" s="34">
      <c r="A169" s="57" t="inlineStr">
        <is>
          <t>CMD-2025-0168</t>
        </is>
      </c>
      <c r="B169" s="57" t="inlineStr">
        <is>
          <t>PO-INT-50716</t>
        </is>
      </c>
      <c r="C169" s="58" t="n">
        <v>45978</v>
      </c>
      <c r="D169" s="57" t="inlineStr">
        <is>
          <t>E004</t>
        </is>
      </c>
      <c r="E169" s="57">
        <f>IFERROR(INDEX(Entreprises!$B$2:$B$3000,MATCH(D169,Entreprises!$A$2:$A$3000,0)),"")</f>
        <v/>
      </c>
      <c r="F169" s="57" t="inlineStr">
        <is>
          <t>P008</t>
        </is>
      </c>
      <c r="G169" s="57">
        <f>IFERROR(INDEX(Produits!$C$2:$C$3000,MATCH(F169,Produits!$A$2:$A$3000,0)),"")</f>
        <v/>
      </c>
      <c r="H169" s="60" t="n">
        <v>40</v>
      </c>
      <c r="I169" s="59">
        <f>IFERROR(INDEX(Produits!$G$2:$G$3000,MATCH(F169,Produits!$A$2:$A$3000,0)),"")</f>
        <v/>
      </c>
      <c r="J169" s="62" t="n">
        <v>0.04</v>
      </c>
      <c r="K169" s="59">
        <f>IF(OR(H169="",I169=""),"",ROUND(H169*I169*(1-J169),2))</f>
        <v/>
      </c>
      <c r="L169" s="58" t="n">
        <v>45992</v>
      </c>
      <c r="M169" s="58" t="n">
        <v>45992</v>
      </c>
      <c r="N169" s="60">
        <f>IF(M169="","",MAX(0,M169-L169))</f>
        <v/>
      </c>
      <c r="O169" s="57" t="inlineStr">
        <is>
          <t>Facturée</t>
        </is>
      </c>
      <c r="P169" s="57" t="inlineStr">
        <is>
          <t>U002</t>
        </is>
      </c>
    </row>
    <row r="170" ht="15" customHeight="1" s="34">
      <c r="A170" s="57" t="inlineStr">
        <is>
          <t>CMD-2025-0169</t>
        </is>
      </c>
      <c r="B170" s="57" t="inlineStr">
        <is>
          <t>PO-DAN-66577</t>
        </is>
      </c>
      <c r="C170" s="58" t="n">
        <v>45978</v>
      </c>
      <c r="D170" s="57" t="inlineStr">
        <is>
          <t>E026</t>
        </is>
      </c>
      <c r="E170" s="57">
        <f>IFERROR(INDEX(Entreprises!$B$2:$B$3000,MATCH(D170,Entreprises!$A$2:$A$3000,0)),"")</f>
        <v/>
      </c>
      <c r="F170" s="57" t="inlineStr">
        <is>
          <t>P003</t>
        </is>
      </c>
      <c r="G170" s="57">
        <f>IFERROR(INDEX(Produits!$C$2:$C$3000,MATCH(F170,Produits!$A$2:$A$3000,0)),"")</f>
        <v/>
      </c>
      <c r="H170" s="60" t="n">
        <v>286</v>
      </c>
      <c r="I170" s="59">
        <f>IFERROR(INDEX(Produits!$G$2:$G$3000,MATCH(F170,Produits!$A$2:$A$3000,0)),"")</f>
        <v/>
      </c>
      <c r="J170" s="62" t="n">
        <v>0.05</v>
      </c>
      <c r="K170" s="59">
        <f>IF(OR(H170="",I170=""),"",ROUND(H170*I170*(1-J170),2))</f>
        <v/>
      </c>
      <c r="L170" s="58" t="n">
        <v>45992</v>
      </c>
      <c r="M170" s="58" t="n">
        <v>45993</v>
      </c>
      <c r="N170" s="60">
        <f>IF(M170="","",MAX(0,M170-L170))</f>
        <v/>
      </c>
      <c r="O170" s="57" t="inlineStr">
        <is>
          <t>Facturée</t>
        </is>
      </c>
      <c r="P170" s="57" t="inlineStr">
        <is>
          <t>U007</t>
        </is>
      </c>
    </row>
    <row r="171" ht="15" customHeight="1" s="34">
      <c r="A171" s="57" t="inlineStr">
        <is>
          <t>CMD-2025-0170</t>
        </is>
      </c>
      <c r="B171" s="57" t="inlineStr">
        <is>
          <t>PO-BIO-69052</t>
        </is>
      </c>
      <c r="C171" s="58" t="n">
        <v>45980</v>
      </c>
      <c r="D171" s="57" t="inlineStr">
        <is>
          <t>E012</t>
        </is>
      </c>
      <c r="E171" s="57">
        <f>IFERROR(INDEX(Entreprises!$B$2:$B$3000,MATCH(D171,Entreprises!$A$2:$A$3000,0)),"")</f>
        <v/>
      </c>
      <c r="F171" s="57" t="inlineStr">
        <is>
          <t>P003</t>
        </is>
      </c>
      <c r="G171" s="57">
        <f>IFERROR(INDEX(Produits!$C$2:$C$3000,MATCH(F171,Produits!$A$2:$A$3000,0)),"")</f>
        <v/>
      </c>
      <c r="H171" s="60" t="n">
        <v>200</v>
      </c>
      <c r="I171" s="59">
        <f>IFERROR(INDEX(Produits!$G$2:$G$3000,MATCH(F171,Produits!$A$2:$A$3000,0)),"")</f>
        <v/>
      </c>
      <c r="J171" s="62" t="n">
        <v>0.07000000000000001</v>
      </c>
      <c r="K171" s="59">
        <f>IF(OR(H171="",I171=""),"",ROUND(H171*I171*(1-J171),2))</f>
        <v/>
      </c>
      <c r="L171" s="58" t="n">
        <v>45994</v>
      </c>
      <c r="M171" s="58" t="n">
        <v>45994</v>
      </c>
      <c r="N171" s="60">
        <f>IF(M171="","",MAX(0,M171-L171))</f>
        <v/>
      </c>
      <c r="O171" s="57" t="inlineStr">
        <is>
          <t>Facturée</t>
        </is>
      </c>
      <c r="P171" s="57" t="inlineStr">
        <is>
          <t>U004</t>
        </is>
      </c>
    </row>
    <row r="172" ht="15" customHeight="1" s="34">
      <c r="A172" s="57" t="inlineStr">
        <is>
          <t>CMD-2025-0171</t>
        </is>
      </c>
      <c r="B172" s="57" t="inlineStr">
        <is>
          <t>PO-PER-26776</t>
        </is>
      </c>
      <c r="C172" s="58" t="n">
        <v>45980</v>
      </c>
      <c r="D172" s="57" t="inlineStr">
        <is>
          <t>E025</t>
        </is>
      </c>
      <c r="E172" s="57">
        <f>IFERROR(INDEX(Entreprises!$B$2:$B$3000,MATCH(D172,Entreprises!$A$2:$A$3000,0)),"")</f>
        <v/>
      </c>
      <c r="F172" s="57" t="inlineStr">
        <is>
          <t>P005</t>
        </is>
      </c>
      <c r="G172" s="57">
        <f>IFERROR(INDEX(Produits!$C$2:$C$3000,MATCH(F172,Produits!$A$2:$A$3000,0)),"")</f>
        <v/>
      </c>
      <c r="H172" s="60" t="n">
        <v>48</v>
      </c>
      <c r="I172" s="59">
        <f>IFERROR(INDEX(Produits!$G$2:$G$3000,MATCH(F172,Produits!$A$2:$A$3000,0)),"")</f>
        <v/>
      </c>
      <c r="J172" s="62" t="n">
        <v>0.07000000000000001</v>
      </c>
      <c r="K172" s="59">
        <f>IF(OR(H172="",I172=""),"",ROUND(H172*I172*(1-J172),2))</f>
        <v/>
      </c>
      <c r="L172" s="58" t="n">
        <v>45994</v>
      </c>
      <c r="M172" s="58" t="n">
        <v>45994</v>
      </c>
      <c r="N172" s="60">
        <f>IF(M172="","",MAX(0,M172-L172))</f>
        <v/>
      </c>
      <c r="O172" s="57" t="inlineStr">
        <is>
          <t>Facturée</t>
        </is>
      </c>
      <c r="P172" s="57" t="inlineStr">
        <is>
          <t>U007</t>
        </is>
      </c>
    </row>
    <row r="173" ht="15" customHeight="1" s="34">
      <c r="A173" s="57" t="inlineStr">
        <is>
          <t>CMD-2025-0172</t>
        </is>
      </c>
      <c r="B173" s="57" t="inlineStr">
        <is>
          <t>PO-BON-56233</t>
        </is>
      </c>
      <c r="C173" s="58" t="n">
        <v>45988</v>
      </c>
      <c r="D173" s="57" t="inlineStr">
        <is>
          <t>E001</t>
        </is>
      </c>
      <c r="E173" s="57">
        <f>IFERROR(INDEX(Entreprises!$B$2:$B$3000,MATCH(D173,Entreprises!$A$2:$A$3000,0)),"")</f>
        <v/>
      </c>
      <c r="F173" s="57" t="inlineStr">
        <is>
          <t>P003</t>
        </is>
      </c>
      <c r="G173" s="57">
        <f>IFERROR(INDEX(Produits!$C$2:$C$3000,MATCH(F173,Produits!$A$2:$A$3000,0)),"")</f>
        <v/>
      </c>
      <c r="H173" s="60" t="n">
        <v>147</v>
      </c>
      <c r="I173" s="59">
        <f>IFERROR(INDEX(Produits!$G$2:$G$3000,MATCH(F173,Produits!$A$2:$A$3000,0)),"")</f>
        <v/>
      </c>
      <c r="J173" s="62" t="n">
        <v>0.08</v>
      </c>
      <c r="K173" s="59">
        <f>IF(OR(H173="",I173=""),"",ROUND(H173*I173*(1-J173),2))</f>
        <v/>
      </c>
      <c r="L173" s="58" t="n">
        <v>46002</v>
      </c>
      <c r="M173" s="58" t="n">
        <v>46001</v>
      </c>
      <c r="N173" s="60">
        <f>IF(M173="","",MAX(0,M173-L173))</f>
        <v/>
      </c>
      <c r="O173" s="57" t="inlineStr">
        <is>
          <t>Facturée</t>
        </is>
      </c>
      <c r="P173" s="57" t="inlineStr">
        <is>
          <t>U002</t>
        </is>
      </c>
    </row>
    <row r="174" ht="15" customHeight="1" s="34">
      <c r="A174" s="57" t="inlineStr">
        <is>
          <t>CMD-2025-0173</t>
        </is>
      </c>
      <c r="B174" s="57" t="inlineStr">
        <is>
          <t>PO-LOR-95494</t>
        </is>
      </c>
      <c r="C174" s="58" t="n">
        <v>45992</v>
      </c>
      <c r="D174" s="57" t="inlineStr">
        <is>
          <t>E027</t>
        </is>
      </c>
      <c r="E174" s="57">
        <f>IFERROR(INDEX(Entreprises!$B$2:$B$3000,MATCH(D174,Entreprises!$A$2:$A$3000,0)),"")</f>
        <v/>
      </c>
      <c r="F174" s="57" t="inlineStr">
        <is>
          <t>P008</t>
        </is>
      </c>
      <c r="G174" s="57">
        <f>IFERROR(INDEX(Produits!$C$2:$C$3000,MATCH(F174,Produits!$A$2:$A$3000,0)),"")</f>
        <v/>
      </c>
      <c r="H174" s="60" t="n">
        <v>211</v>
      </c>
      <c r="I174" s="59">
        <f>IFERROR(INDEX(Produits!$G$2:$G$3000,MATCH(F174,Produits!$A$2:$A$3000,0)),"")</f>
        <v/>
      </c>
      <c r="J174" s="62" t="n">
        <v>0.07000000000000001</v>
      </c>
      <c r="K174" s="59">
        <f>IF(OR(H174="",I174=""),"",ROUND(H174*I174*(1-J174),2))</f>
        <v/>
      </c>
      <c r="L174" s="58" t="n">
        <v>46006</v>
      </c>
      <c r="M174" s="58" t="n">
        <v>46006</v>
      </c>
      <c r="N174" s="60">
        <f>IF(M174="","",MAX(0,M174-L174))</f>
        <v/>
      </c>
      <c r="O174" s="57" t="inlineStr">
        <is>
          <t>Facturée</t>
        </is>
      </c>
      <c r="P174" s="57" t="inlineStr">
        <is>
          <t>U007</t>
        </is>
      </c>
    </row>
    <row r="175" ht="15" customHeight="1" s="34">
      <c r="A175" s="57" t="inlineStr">
        <is>
          <t>CMD-2025-0174</t>
        </is>
      </c>
      <c r="B175" s="57" t="inlineStr">
        <is>
          <t>PO-BOI-24485</t>
        </is>
      </c>
      <c r="C175" s="58" t="n">
        <v>45994</v>
      </c>
      <c r="D175" s="57" t="inlineStr">
        <is>
          <t>E013</t>
        </is>
      </c>
      <c r="E175" s="57">
        <f>IFERROR(INDEX(Entreprises!$B$2:$B$3000,MATCH(D175,Entreprises!$A$2:$A$3000,0)),"")</f>
        <v/>
      </c>
      <c r="F175" s="57" t="inlineStr">
        <is>
          <t>P001</t>
        </is>
      </c>
      <c r="G175" s="57">
        <f>IFERROR(INDEX(Produits!$C$2:$C$3000,MATCH(F175,Produits!$A$2:$A$3000,0)),"")</f>
        <v/>
      </c>
      <c r="H175" s="60" t="n">
        <v>87</v>
      </c>
      <c r="I175" s="59">
        <f>IFERROR(INDEX(Produits!$G$2:$G$3000,MATCH(F175,Produits!$A$2:$A$3000,0)),"")</f>
        <v/>
      </c>
      <c r="J175" s="62" t="n">
        <v>0.04</v>
      </c>
      <c r="K175" s="59">
        <f>IF(OR(H175="",I175=""),"",ROUND(H175*I175*(1-J175),2))</f>
        <v/>
      </c>
      <c r="L175" s="58" t="n">
        <v>46008</v>
      </c>
      <c r="M175" s="58" t="n">
        <v>46009</v>
      </c>
      <c r="N175" s="60">
        <f>IF(M175="","",MAX(0,M175-L175))</f>
        <v/>
      </c>
      <c r="O175" s="57" t="inlineStr">
        <is>
          <t>Facturée</t>
        </is>
      </c>
      <c r="P175" s="57" t="inlineStr">
        <is>
          <t>U004</t>
        </is>
      </c>
    </row>
    <row r="176" ht="15" customHeight="1" s="34">
      <c r="A176" s="57" t="inlineStr">
        <is>
          <t>CMD-2025-0175</t>
        </is>
      </c>
      <c r="B176" s="57" t="inlineStr">
        <is>
          <t>PO-GUE-16257</t>
        </is>
      </c>
      <c r="C176" s="58" t="n">
        <v>45996</v>
      </c>
      <c r="D176" s="57" t="inlineStr">
        <is>
          <t>E003</t>
        </is>
      </c>
      <c r="E176" s="57">
        <f>IFERROR(INDEX(Entreprises!$B$2:$B$3000,MATCH(D176,Entreprises!$A$2:$A$3000,0)),"")</f>
        <v/>
      </c>
      <c r="F176" s="57" t="inlineStr">
        <is>
          <t>P001</t>
        </is>
      </c>
      <c r="G176" s="57">
        <f>IFERROR(INDEX(Produits!$C$2:$C$3000,MATCH(F176,Produits!$A$2:$A$3000,0)),"")</f>
        <v/>
      </c>
      <c r="H176" s="60" t="n">
        <v>120</v>
      </c>
      <c r="I176" s="59">
        <f>IFERROR(INDEX(Produits!$G$2:$G$3000,MATCH(F176,Produits!$A$2:$A$3000,0)),"")</f>
        <v/>
      </c>
      <c r="J176" s="62" t="n">
        <v>0.05</v>
      </c>
      <c r="K176" s="59">
        <f>IF(OR(H176="",I176=""),"",ROUND(H176*I176*(1-J176),2))</f>
        <v/>
      </c>
      <c r="L176" s="58" t="n">
        <v>46010</v>
      </c>
      <c r="M176" s="58" t="n">
        <v>46013</v>
      </c>
      <c r="N176" s="60">
        <f>IF(M176="","",MAX(0,M176-L176))</f>
        <v/>
      </c>
      <c r="O176" s="57" t="inlineStr">
        <is>
          <t>Facturée</t>
        </is>
      </c>
      <c r="P176" s="57" t="inlineStr">
        <is>
          <t>U002</t>
        </is>
      </c>
    </row>
    <row r="177" ht="15" customHeight="1" s="34">
      <c r="A177" s="57" t="inlineStr">
        <is>
          <t>CMD-2025-0176</t>
        </is>
      </c>
      <c r="B177" s="57" t="inlineStr">
        <is>
          <t>PO-SAN-26759</t>
        </is>
      </c>
      <c r="C177" s="58" t="n">
        <v>46001</v>
      </c>
      <c r="D177" s="57" t="inlineStr">
        <is>
          <t>E022</t>
        </is>
      </c>
      <c r="E177" s="57">
        <f>IFERROR(INDEX(Entreprises!$B$2:$B$3000,MATCH(D177,Entreprises!$A$2:$A$3000,0)),"")</f>
        <v/>
      </c>
      <c r="F177" s="57" t="inlineStr">
        <is>
          <t>P002</t>
        </is>
      </c>
      <c r="G177" s="57">
        <f>IFERROR(INDEX(Produits!$C$2:$C$3000,MATCH(F177,Produits!$A$2:$A$3000,0)),"")</f>
        <v/>
      </c>
      <c r="H177" s="60" t="n">
        <v>1046</v>
      </c>
      <c r="I177" s="59">
        <f>IFERROR(INDEX(Produits!$G$2:$G$3000,MATCH(F177,Produits!$A$2:$A$3000,0)),"")</f>
        <v/>
      </c>
      <c r="J177" s="62" t="n">
        <v>0.07000000000000001</v>
      </c>
      <c r="K177" s="59">
        <f>IF(OR(H177="",I177=""),"",ROUND(H177*I177*(1-J177),2))</f>
        <v/>
      </c>
      <c r="L177" s="58" t="n">
        <v>46015</v>
      </c>
      <c r="M177" s="58" t="n">
        <v>46014</v>
      </c>
      <c r="N177" s="60">
        <f>IF(M177="","",MAX(0,M177-L177))</f>
        <v/>
      </c>
      <c r="O177" s="57" t="inlineStr">
        <is>
          <t>Facturée</t>
        </is>
      </c>
      <c r="P177" s="57" t="inlineStr">
        <is>
          <t>U006</t>
        </is>
      </c>
    </row>
    <row r="178" ht="15" customHeight="1" s="34">
      <c r="A178" s="57" t="inlineStr">
        <is>
          <t>CMD-2025-0177</t>
        </is>
      </c>
      <c r="B178" s="57" t="inlineStr">
        <is>
          <t>PO-KRO-58520</t>
        </is>
      </c>
      <c r="C178" s="58" t="n">
        <v>46002</v>
      </c>
      <c r="D178" s="57" t="inlineStr">
        <is>
          <t>E011</t>
        </is>
      </c>
      <c r="E178" s="57">
        <f>IFERROR(INDEX(Entreprises!$B$2:$B$3000,MATCH(D178,Entreprises!$A$2:$A$3000,0)),"")</f>
        <v/>
      </c>
      <c r="F178" s="57" t="inlineStr">
        <is>
          <t>P003</t>
        </is>
      </c>
      <c r="G178" s="57">
        <f>IFERROR(INDEX(Produits!$C$2:$C$3000,MATCH(F178,Produits!$A$2:$A$3000,0)),"")</f>
        <v/>
      </c>
      <c r="H178" s="60" t="n">
        <v>94</v>
      </c>
      <c r="I178" s="59">
        <f>IFERROR(INDEX(Produits!$G$2:$G$3000,MATCH(F178,Produits!$A$2:$A$3000,0)),"")</f>
        <v/>
      </c>
      <c r="J178" s="62" t="n">
        <v>0.06</v>
      </c>
      <c r="K178" s="59">
        <f>IF(OR(H178="",I178=""),"",ROUND(H178*I178*(1-J178),2))</f>
        <v/>
      </c>
      <c r="L178" s="58" t="n">
        <v>46016</v>
      </c>
      <c r="M178" s="58" t="n">
        <v>46014</v>
      </c>
      <c r="N178" s="60">
        <f>IF(M178="","",MAX(0,M178-L178))</f>
        <v/>
      </c>
      <c r="O178" s="57" t="inlineStr">
        <is>
          <t>Facturée</t>
        </is>
      </c>
      <c r="P178" s="57" t="inlineStr">
        <is>
          <t>U003</t>
        </is>
      </c>
    </row>
    <row r="179" ht="15" customHeight="1" s="34">
      <c r="A179" s="57" t="inlineStr">
        <is>
          <t>CMD-2025-0178</t>
        </is>
      </c>
      <c r="B179" s="57" t="inlineStr">
        <is>
          <t>PO-LAU-91864</t>
        </is>
      </c>
      <c r="C179" s="58" t="n">
        <v>46008</v>
      </c>
      <c r="D179" s="57" t="inlineStr">
        <is>
          <t>E009</t>
        </is>
      </c>
      <c r="E179" s="57">
        <f>IFERROR(INDEX(Entreprises!$B$2:$B$3000,MATCH(D179,Entreprises!$A$2:$A$3000,0)),"")</f>
        <v/>
      </c>
      <c r="F179" s="57" t="inlineStr">
        <is>
          <t>P007</t>
        </is>
      </c>
      <c r="G179" s="57">
        <f>IFERROR(INDEX(Produits!$C$2:$C$3000,MATCH(F179,Produits!$A$2:$A$3000,0)),"")</f>
        <v/>
      </c>
      <c r="H179" s="60" t="n">
        <v>36</v>
      </c>
      <c r="I179" s="59">
        <f>IFERROR(INDEX(Produits!$G$2:$G$3000,MATCH(F179,Produits!$A$2:$A$3000,0)),"")</f>
        <v/>
      </c>
      <c r="J179" s="62" t="n">
        <v>0.03</v>
      </c>
      <c r="K179" s="59">
        <f>IF(OR(H179="",I179=""),"",ROUND(H179*I179*(1-J179),2))</f>
        <v/>
      </c>
      <c r="L179" s="58" t="n">
        <v>46022</v>
      </c>
      <c r="M179" s="58" t="n">
        <v>46023</v>
      </c>
      <c r="N179" s="60">
        <f>IF(M179="","",MAX(0,M179-L179))</f>
        <v/>
      </c>
      <c r="O179" s="57" t="inlineStr">
        <is>
          <t>Facturée</t>
        </is>
      </c>
      <c r="P179" s="57" t="inlineStr">
        <is>
          <t>U003</t>
        </is>
      </c>
    </row>
    <row r="180" ht="15" customHeight="1" s="34">
      <c r="A180" s="57" t="inlineStr">
        <is>
          <t>CMD-2025-0179</t>
        </is>
      </c>
      <c r="B180" s="57" t="inlineStr">
        <is>
          <t>PO-SCH-45488</t>
        </is>
      </c>
      <c r="C180" s="58" t="n">
        <v>46010</v>
      </c>
      <c r="D180" s="57" t="inlineStr">
        <is>
          <t>E030</t>
        </is>
      </c>
      <c r="E180" s="57">
        <f>IFERROR(INDEX(Entreprises!$B$2:$B$3000,MATCH(D180,Entreprises!$A$2:$A$3000,0)),"")</f>
        <v/>
      </c>
      <c r="F180" s="57" t="inlineStr">
        <is>
          <t>P008</t>
        </is>
      </c>
      <c r="G180" s="57">
        <f>IFERROR(INDEX(Produits!$C$2:$C$3000,MATCH(F180,Produits!$A$2:$A$3000,0)),"")</f>
        <v/>
      </c>
      <c r="H180" s="60" t="n">
        <v>92</v>
      </c>
      <c r="I180" s="59">
        <f>IFERROR(INDEX(Produits!$G$2:$G$3000,MATCH(F180,Produits!$A$2:$A$3000,0)),"")</f>
        <v/>
      </c>
      <c r="J180" s="62" t="n">
        <v>0.05</v>
      </c>
      <c r="K180" s="59">
        <f>IF(OR(H180="",I180=""),"",ROUND(H180*I180*(1-J180),2))</f>
        <v/>
      </c>
      <c r="L180" s="58" t="n">
        <v>46024</v>
      </c>
      <c r="M180" s="58" t="n">
        <v>46024</v>
      </c>
      <c r="N180" s="60">
        <f>IF(M180="","",MAX(0,M180-L180))</f>
        <v/>
      </c>
      <c r="O180" s="57" t="inlineStr">
        <is>
          <t>Facturée</t>
        </is>
      </c>
      <c r="P180" s="57" t="inlineStr">
        <is>
          <t>U007</t>
        </is>
      </c>
    </row>
    <row r="181" ht="15" customHeight="1" s="34">
      <c r="A181" s="57" t="inlineStr">
        <is>
          <t>CMD-2025-0180</t>
        </is>
      </c>
      <c r="B181" s="57" t="inlineStr">
        <is>
          <t>PO-LES-37464</t>
        </is>
      </c>
      <c r="C181" s="58" t="n">
        <v>46013</v>
      </c>
      <c r="D181" s="57" t="inlineStr">
        <is>
          <t>E002</t>
        </is>
      </c>
      <c r="E181" s="57">
        <f>IFERROR(INDEX(Entreprises!$B$2:$B$3000,MATCH(D181,Entreprises!$A$2:$A$3000,0)),"")</f>
        <v/>
      </c>
      <c r="F181" s="57" t="inlineStr">
        <is>
          <t>P003</t>
        </is>
      </c>
      <c r="G181" s="57">
        <f>IFERROR(INDEX(Produits!$C$2:$C$3000,MATCH(F181,Produits!$A$2:$A$3000,0)),"")</f>
        <v/>
      </c>
      <c r="H181" s="60" t="n">
        <v>159</v>
      </c>
      <c r="I181" s="59">
        <f>IFERROR(INDEX(Produits!$G$2:$G$3000,MATCH(F181,Produits!$A$2:$A$3000,0)),"")</f>
        <v/>
      </c>
      <c r="J181" s="62" t="n">
        <v>0.07000000000000001</v>
      </c>
      <c r="K181" s="59">
        <f>IF(OR(H181="",I181=""),"",ROUND(H181*I181*(1-J181),2))</f>
        <v/>
      </c>
      <c r="L181" s="58" t="n">
        <v>46027</v>
      </c>
      <c r="M181" s="58" t="n">
        <v>46030</v>
      </c>
      <c r="N181" s="60">
        <f>IF(M181="","",MAX(0,M181-L181))</f>
        <v/>
      </c>
      <c r="O181" s="57" t="inlineStr">
        <is>
          <t>Facturée</t>
        </is>
      </c>
      <c r="P181" s="57" t="inlineStr">
        <is>
          <t>U002</t>
        </is>
      </c>
    </row>
    <row r="182" ht="15" customHeight="1" s="34">
      <c r="A182" s="57" t="inlineStr">
        <is>
          <t>CMD-2025-0181</t>
        </is>
      </c>
      <c r="B182" s="57" t="inlineStr">
        <is>
          <t>PO-NEX-96420</t>
        </is>
      </c>
      <c r="C182" s="58" t="n">
        <v>46015</v>
      </c>
      <c r="D182" s="57" t="inlineStr">
        <is>
          <t>E007</t>
        </is>
      </c>
      <c r="E182" s="57">
        <f>IFERROR(INDEX(Entreprises!$B$2:$B$3000,MATCH(D182,Entreprises!$A$2:$A$3000,0)),"")</f>
        <v/>
      </c>
      <c r="F182" s="57" t="inlineStr">
        <is>
          <t>P007</t>
        </is>
      </c>
      <c r="G182" s="57">
        <f>IFERROR(INDEX(Produits!$C$2:$C$3000,MATCH(F182,Produits!$A$2:$A$3000,0)),"")</f>
        <v/>
      </c>
      <c r="H182" s="60" t="n">
        <v>24</v>
      </c>
      <c r="I182" s="59">
        <f>IFERROR(INDEX(Produits!$G$2:$G$3000,MATCH(F182,Produits!$A$2:$A$3000,0)),"")</f>
        <v/>
      </c>
      <c r="J182" s="62" t="n">
        <v>0.07000000000000001</v>
      </c>
      <c r="K182" s="59">
        <f>IF(OR(H182="",I182=""),"",ROUND(H182*I182*(1-J182),2))</f>
        <v/>
      </c>
      <c r="L182" s="58" t="n">
        <v>46029</v>
      </c>
      <c r="M182" s="58" t="n">
        <v>46027</v>
      </c>
      <c r="N182" s="60">
        <f>IF(M182="","",MAX(0,M182-L182))</f>
        <v/>
      </c>
      <c r="O182" s="57" t="inlineStr">
        <is>
          <t>Facturée</t>
        </is>
      </c>
      <c r="P182" s="57" t="inlineStr">
        <is>
          <t>U002</t>
        </is>
      </c>
    </row>
    <row r="183" ht="15" customHeight="1" s="34">
      <c r="A183" s="57" t="inlineStr">
        <is>
          <t>CMD-2025-0182</t>
        </is>
      </c>
      <c r="B183" s="57" t="inlineStr">
        <is>
          <t>PO-SEB-43036</t>
        </is>
      </c>
      <c r="C183" s="58" t="n">
        <v>46015</v>
      </c>
      <c r="D183" s="57" t="inlineStr">
        <is>
          <t>E014</t>
        </is>
      </c>
      <c r="E183" s="57">
        <f>IFERROR(INDEX(Entreprises!$B$2:$B$3000,MATCH(D183,Entreprises!$A$2:$A$3000,0)),"")</f>
        <v/>
      </c>
      <c r="F183" s="57" t="inlineStr">
        <is>
          <t>P008</t>
        </is>
      </c>
      <c r="G183" s="57">
        <f>IFERROR(INDEX(Produits!$C$2:$C$3000,MATCH(F183,Produits!$A$2:$A$3000,0)),"")</f>
        <v/>
      </c>
      <c r="H183" s="60" t="n">
        <v>87</v>
      </c>
      <c r="I183" s="59">
        <f>IFERROR(INDEX(Produits!$G$2:$G$3000,MATCH(F183,Produits!$A$2:$A$3000,0)),"")</f>
        <v/>
      </c>
      <c r="J183" s="62" t="n">
        <v>0.08</v>
      </c>
      <c r="K183" s="59">
        <f>IF(OR(H183="",I183=""),"",ROUND(H183*I183*(1-J183),2))</f>
        <v/>
      </c>
      <c r="L183" s="58" t="n">
        <v>46029</v>
      </c>
      <c r="M183" s="58" t="n">
        <v>46029</v>
      </c>
      <c r="N183" s="60">
        <f>IF(M183="","",MAX(0,M183-L183))</f>
        <v/>
      </c>
      <c r="O183" s="57" t="inlineStr">
        <is>
          <t>Facturée</t>
        </is>
      </c>
      <c r="P183" s="57" t="inlineStr">
        <is>
          <t>U004</t>
        </is>
      </c>
    </row>
    <row r="184" ht="15" customHeight="1" s="34">
      <c r="A184" s="57" t="inlineStr">
        <is>
          <t>CMD-2025-0183</t>
        </is>
      </c>
      <c r="B184" s="57" t="inlineStr">
        <is>
          <t>PO-MOE-31998</t>
        </is>
      </c>
      <c r="C184" s="58" t="n">
        <v>46016</v>
      </c>
      <c r="D184" s="57" t="inlineStr">
        <is>
          <t>E008</t>
        </is>
      </c>
      <c r="E184" s="57">
        <f>IFERROR(INDEX(Entreprises!$B$2:$B$3000,MATCH(D184,Entreprises!$A$2:$A$3000,0)),"")</f>
        <v/>
      </c>
      <c r="F184" s="57" t="inlineStr">
        <is>
          <t>P005</t>
        </is>
      </c>
      <c r="G184" s="57">
        <f>IFERROR(INDEX(Produits!$C$2:$C$3000,MATCH(F184,Produits!$A$2:$A$3000,0)),"")</f>
        <v/>
      </c>
      <c r="H184" s="60" t="n">
        <v>56</v>
      </c>
      <c r="I184" s="59">
        <f>IFERROR(INDEX(Produits!$G$2:$G$3000,MATCH(F184,Produits!$A$2:$A$3000,0)),"")</f>
        <v/>
      </c>
      <c r="J184" s="62" t="n">
        <v>0.08</v>
      </c>
      <c r="K184" s="59">
        <f>IF(OR(H184="",I184=""),"",ROUND(H184*I184*(1-J184),2))</f>
        <v/>
      </c>
      <c r="L184" s="58" t="n">
        <v>46030</v>
      </c>
      <c r="M184" s="58" t="n">
        <v>46034</v>
      </c>
      <c r="N184" s="60">
        <f>IF(M184="","",MAX(0,M184-L184))</f>
        <v/>
      </c>
      <c r="O184" s="57" t="inlineStr">
        <is>
          <t>Facturée</t>
        </is>
      </c>
      <c r="P184" s="57" t="inlineStr">
        <is>
          <t>U003</t>
        </is>
      </c>
    </row>
    <row r="185" ht="15" customHeight="1" s="34">
      <c r="A185" s="57" t="inlineStr">
        <is>
          <t>CMD-2025-0184</t>
        </is>
      </c>
      <c r="B185" s="57" t="inlineStr">
        <is>
          <t>PO-REM-66794</t>
        </is>
      </c>
      <c r="C185" s="58" t="n">
        <v>46020</v>
      </c>
      <c r="D185" s="57" t="inlineStr">
        <is>
          <t>E017</t>
        </is>
      </c>
      <c r="E185" s="57">
        <f>IFERROR(INDEX(Entreprises!$B$2:$B$3000,MATCH(D185,Entreprises!$A$2:$A$3000,0)),"")</f>
        <v/>
      </c>
      <c r="F185" s="57" t="inlineStr">
        <is>
          <t>P005</t>
        </is>
      </c>
      <c r="G185" s="57">
        <f>IFERROR(INDEX(Produits!$C$2:$C$3000,MATCH(F185,Produits!$A$2:$A$3000,0)),"")</f>
        <v/>
      </c>
      <c r="H185" s="60" t="n">
        <v>21</v>
      </c>
      <c r="I185" s="59">
        <f>IFERROR(INDEX(Produits!$G$2:$G$3000,MATCH(F185,Produits!$A$2:$A$3000,0)),"")</f>
        <v/>
      </c>
      <c r="J185" s="62" t="n">
        <v>0.07000000000000001</v>
      </c>
      <c r="K185" s="59">
        <f>IF(OR(H185="",I185=""),"",ROUND(H185*I185*(1-J185),2))</f>
        <v/>
      </c>
      <c r="L185" s="58" t="n">
        <v>46034</v>
      </c>
      <c r="M185" s="58" t="n">
        <v>46034</v>
      </c>
      <c r="N185" s="60">
        <f>IF(M185="","",MAX(0,M185-L185))</f>
        <v/>
      </c>
      <c r="O185" s="57" t="inlineStr">
        <is>
          <t>Facturée</t>
        </is>
      </c>
      <c r="P185" s="57" t="inlineStr">
        <is>
          <t>U005</t>
        </is>
      </c>
    </row>
    <row r="186" ht="15" customHeight="1" s="34">
      <c r="A186" s="57" t="inlineStr">
        <is>
          <t>CMD-2025-0185</t>
        </is>
      </c>
      <c r="B186" s="57" t="inlineStr">
        <is>
          <t>PO-PIE-61099</t>
        </is>
      </c>
      <c r="C186" s="58" t="n">
        <v>46020</v>
      </c>
      <c r="D186" s="57" t="inlineStr">
        <is>
          <t>E019</t>
        </is>
      </c>
      <c r="E186" s="57">
        <f>IFERROR(INDEX(Entreprises!$B$2:$B$3000,MATCH(D186,Entreprises!$A$2:$A$3000,0)),"")</f>
        <v/>
      </c>
      <c r="F186" s="57" t="inlineStr">
        <is>
          <t>P002</t>
        </is>
      </c>
      <c r="G186" s="57">
        <f>IFERROR(INDEX(Produits!$C$2:$C$3000,MATCH(F186,Produits!$A$2:$A$3000,0)),"")</f>
        <v/>
      </c>
      <c r="H186" s="60" t="n">
        <v>262</v>
      </c>
      <c r="I186" s="59">
        <f>IFERROR(INDEX(Produits!$G$2:$G$3000,MATCH(F186,Produits!$A$2:$A$3000,0)),"")</f>
        <v/>
      </c>
      <c r="J186" s="62" t="n">
        <v>0.07000000000000001</v>
      </c>
      <c r="K186" s="59">
        <f>IF(OR(H186="",I186=""),"",ROUND(H186*I186*(1-J186),2))</f>
        <v/>
      </c>
      <c r="L186" s="58" t="n">
        <v>46034</v>
      </c>
      <c r="M186" s="58" t="n">
        <v>46037</v>
      </c>
      <c r="N186" s="60">
        <f>IF(M186="","",MAX(0,M186-L186))</f>
        <v/>
      </c>
      <c r="O186" s="57" t="inlineStr">
        <is>
          <t>Facturée</t>
        </is>
      </c>
      <c r="P186" s="57" t="inlineStr">
        <is>
          <t>U005</t>
        </is>
      </c>
    </row>
    <row r="187" ht="15" customHeight="1" s="34">
      <c r="A187" s="57" t="inlineStr">
        <is>
          <t>CMD-2025-0186</t>
        </is>
      </c>
      <c r="B187" s="57" t="inlineStr">
        <is>
          <t>PO-IPS-62416</t>
        </is>
      </c>
      <c r="C187" s="58" t="n">
        <v>46020</v>
      </c>
      <c r="D187" s="57" t="inlineStr">
        <is>
          <t>E023</t>
        </is>
      </c>
      <c r="E187" s="57">
        <f>IFERROR(INDEX(Entreprises!$B$2:$B$3000,MATCH(D187,Entreprises!$A$2:$A$3000,0)),"")</f>
        <v/>
      </c>
      <c r="F187" s="57" t="inlineStr">
        <is>
          <t>P004</t>
        </is>
      </c>
      <c r="G187" s="57">
        <f>IFERROR(INDEX(Produits!$C$2:$C$3000,MATCH(F187,Produits!$A$2:$A$3000,0)),"")</f>
        <v/>
      </c>
      <c r="H187" s="60" t="n">
        <v>103</v>
      </c>
      <c r="I187" s="59">
        <f>IFERROR(INDEX(Produits!$G$2:$G$3000,MATCH(F187,Produits!$A$2:$A$3000,0)),"")</f>
        <v/>
      </c>
      <c r="J187" s="62" t="n">
        <v>0.08</v>
      </c>
      <c r="K187" s="59">
        <f>IF(OR(H187="",I187=""),"",ROUND(H187*I187*(1-J187),2))</f>
        <v/>
      </c>
      <c r="L187" s="58" t="n">
        <v>46034</v>
      </c>
      <c r="M187" s="58" t="n">
        <v>46036</v>
      </c>
      <c r="N187" s="60">
        <f>IF(M187="","",MAX(0,M187-L187))</f>
        <v/>
      </c>
      <c r="O187" s="57" t="inlineStr">
        <is>
          <t>Facturée</t>
        </is>
      </c>
      <c r="P187" s="57" t="inlineStr">
        <is>
          <t>U006</t>
        </is>
      </c>
    </row>
    <row r="188" ht="15" customHeight="1" s="34">
      <c r="A188" s="57" t="inlineStr">
        <is>
          <t>CMD-2025-0187</t>
        </is>
      </c>
      <c r="B188" s="57" t="inlineStr">
        <is>
          <t>PO-LEG-85280</t>
        </is>
      </c>
      <c r="C188" s="58" t="n">
        <v>46022</v>
      </c>
      <c r="D188" s="57" t="inlineStr">
        <is>
          <t>E021</t>
        </is>
      </c>
      <c r="E188" s="57">
        <f>IFERROR(INDEX(Entreprises!$B$2:$B$3000,MATCH(D188,Entreprises!$A$2:$A$3000,0)),"")</f>
        <v/>
      </c>
      <c r="F188" s="57" t="inlineStr">
        <is>
          <t>P008</t>
        </is>
      </c>
      <c r="G188" s="57">
        <f>IFERROR(INDEX(Produits!$C$2:$C$3000,MATCH(F188,Produits!$A$2:$A$3000,0)),"")</f>
        <v/>
      </c>
      <c r="H188" s="60" t="n">
        <v>75</v>
      </c>
      <c r="I188" s="59">
        <f>IFERROR(INDEX(Produits!$G$2:$G$3000,MATCH(F188,Produits!$A$2:$A$3000,0)),"")</f>
        <v/>
      </c>
      <c r="J188" s="62" t="n">
        <v>0.08</v>
      </c>
      <c r="K188" s="59">
        <f>IF(OR(H188="",I188=""),"",ROUND(H188*I188*(1-J188),2))</f>
        <v/>
      </c>
      <c r="L188" s="58" t="n">
        <v>46036</v>
      </c>
      <c r="M188" s="58" t="n">
        <v>46038</v>
      </c>
      <c r="N188" s="60">
        <f>IF(M188="","",MAX(0,M188-L188))</f>
        <v/>
      </c>
      <c r="O188" s="57" t="inlineStr">
        <is>
          <t>Facturée</t>
        </is>
      </c>
      <c r="P188" s="57" t="inlineStr">
        <is>
          <t>U005</t>
        </is>
      </c>
    </row>
    <row r="189" ht="15" customHeight="1" s="34">
      <c r="A189" s="57" t="inlineStr">
        <is>
          <t>CMD-2026-0188</t>
        </is>
      </c>
      <c r="B189" s="57" t="inlineStr">
        <is>
          <t>PO-PER-46393</t>
        </is>
      </c>
      <c r="C189" s="58" t="n">
        <v>46024</v>
      </c>
      <c r="D189" s="57" t="inlineStr">
        <is>
          <t>E025</t>
        </is>
      </c>
      <c r="E189" s="57">
        <f>IFERROR(INDEX(Entreprises!$B$2:$B$3000,MATCH(D189,Entreprises!$A$2:$A$3000,0)),"")</f>
        <v/>
      </c>
      <c r="F189" s="57" t="inlineStr">
        <is>
          <t>P006</t>
        </is>
      </c>
      <c r="G189" s="57">
        <f>IFERROR(INDEX(Produits!$C$2:$C$3000,MATCH(F189,Produits!$A$2:$A$3000,0)),"")</f>
        <v/>
      </c>
      <c r="H189" s="60" t="n">
        <v>59</v>
      </c>
      <c r="I189" s="59">
        <f>IFERROR(INDEX(Produits!$G$2:$G$3000,MATCH(F189,Produits!$A$2:$A$3000,0)),"")</f>
        <v/>
      </c>
      <c r="J189" s="62" t="n">
        <v>0.08</v>
      </c>
      <c r="K189" s="59">
        <f>IF(OR(H189="",I189=""),"",ROUND(H189*I189*(1-J189),2))</f>
        <v/>
      </c>
      <c r="L189" s="58" t="n">
        <v>46038</v>
      </c>
      <c r="M189" s="58" t="n">
        <v>46041</v>
      </c>
      <c r="N189" s="60">
        <f>IF(M189="","",MAX(0,M189-L189))</f>
        <v/>
      </c>
      <c r="O189" s="57" t="inlineStr">
        <is>
          <t>Facturée</t>
        </is>
      </c>
      <c r="P189" s="57" t="inlineStr">
        <is>
          <t>U007</t>
        </is>
      </c>
    </row>
    <row r="190" ht="15" customHeight="1" s="34">
      <c r="A190" s="57" t="inlineStr">
        <is>
          <t>CMD-2026-0189</t>
        </is>
      </c>
      <c r="B190" s="57" t="inlineStr">
        <is>
          <t>PO-DAN-86395</t>
        </is>
      </c>
      <c r="C190" s="58" t="n">
        <v>46027</v>
      </c>
      <c r="D190" s="57" t="inlineStr">
        <is>
          <t>E026</t>
        </is>
      </c>
      <c r="E190" s="57">
        <f>IFERROR(INDEX(Entreprises!$B$2:$B$3000,MATCH(D190,Entreprises!$A$2:$A$3000,0)),"")</f>
        <v/>
      </c>
      <c r="F190" s="57" t="inlineStr">
        <is>
          <t>P003</t>
        </is>
      </c>
      <c r="G190" s="57">
        <f>IFERROR(INDEX(Produits!$C$2:$C$3000,MATCH(F190,Produits!$A$2:$A$3000,0)),"")</f>
        <v/>
      </c>
      <c r="H190" s="60" t="n">
        <v>401</v>
      </c>
      <c r="I190" s="59">
        <f>IFERROR(INDEX(Produits!$G$2:$G$3000,MATCH(F190,Produits!$A$2:$A$3000,0)),"")</f>
        <v/>
      </c>
      <c r="J190" s="62" t="n">
        <v>0.06</v>
      </c>
      <c r="K190" s="59">
        <f>IF(OR(H190="",I190=""),"",ROUND(H190*I190*(1-J190),2))</f>
        <v/>
      </c>
      <c r="L190" s="58" t="n">
        <v>46041</v>
      </c>
      <c r="M190" s="58" t="n">
        <v>46043</v>
      </c>
      <c r="N190" s="60">
        <f>IF(M190="","",MAX(0,M190-L190))</f>
        <v/>
      </c>
      <c r="O190" s="57" t="inlineStr">
        <is>
          <t>Facturée</t>
        </is>
      </c>
      <c r="P190" s="57" t="inlineStr">
        <is>
          <t>U007</t>
        </is>
      </c>
    </row>
    <row r="191" ht="15" customHeight="1" s="34">
      <c r="A191" s="57" t="inlineStr">
        <is>
          <t>CMD-2026-0190</t>
        </is>
      </c>
      <c r="B191" s="57" t="inlineStr">
        <is>
          <t>PO-MAI-81386</t>
        </is>
      </c>
      <c r="C191" s="58" t="n">
        <v>46034</v>
      </c>
      <c r="D191" s="57" t="inlineStr">
        <is>
          <t>E018</t>
        </is>
      </c>
      <c r="E191" s="57">
        <f>IFERROR(INDEX(Entreprises!$B$2:$B$3000,MATCH(D191,Entreprises!$A$2:$A$3000,0)),"")</f>
        <v/>
      </c>
      <c r="F191" s="57" t="inlineStr">
        <is>
          <t>P006</t>
        </is>
      </c>
      <c r="G191" s="57">
        <f>IFERROR(INDEX(Produits!$C$2:$C$3000,MATCH(F191,Produits!$A$2:$A$3000,0)),"")</f>
        <v/>
      </c>
      <c r="H191" s="60" t="n">
        <v>8</v>
      </c>
      <c r="I191" s="59">
        <f>IFERROR(INDEX(Produits!$G$2:$G$3000,MATCH(F191,Produits!$A$2:$A$3000,0)),"")</f>
        <v/>
      </c>
      <c r="J191" s="62" t="n">
        <v>0</v>
      </c>
      <c r="K191" s="59">
        <f>IF(OR(H191="",I191=""),"",ROUND(H191*I191*(1-J191),2))</f>
        <v/>
      </c>
      <c r="L191" s="58" t="n">
        <v>46048</v>
      </c>
      <c r="M191" s="58" t="n">
        <v>46048</v>
      </c>
      <c r="N191" s="60">
        <f>IF(M191="","",MAX(0,M191-L191))</f>
        <v/>
      </c>
      <c r="O191" s="57" t="inlineStr">
        <is>
          <t>Facturée</t>
        </is>
      </c>
      <c r="P191" s="57" t="inlineStr">
        <is>
          <t>U005</t>
        </is>
      </c>
    </row>
    <row r="192" ht="15" customHeight="1" s="34">
      <c r="A192" s="57" t="inlineStr">
        <is>
          <t>CMD-2026-0191</t>
        </is>
      </c>
      <c r="B192" s="57" t="inlineStr">
        <is>
          <t>PO-SAV-51229</t>
        </is>
      </c>
      <c r="C192" s="58" t="n">
        <v>46034</v>
      </c>
      <c r="D192" s="57" t="inlineStr">
        <is>
          <t>E028</t>
        </is>
      </c>
      <c r="E192" s="57">
        <f>IFERROR(INDEX(Entreprises!$B$2:$B$3000,MATCH(D192,Entreprises!$A$2:$A$3000,0)),"")</f>
        <v/>
      </c>
      <c r="F192" s="57" t="inlineStr">
        <is>
          <t>P007</t>
        </is>
      </c>
      <c r="G192" s="57">
        <f>IFERROR(INDEX(Produits!$C$2:$C$3000,MATCH(F192,Produits!$A$2:$A$3000,0)),"")</f>
        <v/>
      </c>
      <c r="H192" s="60" t="n">
        <v>54</v>
      </c>
      <c r="I192" s="59">
        <f>IFERROR(INDEX(Produits!$G$2:$G$3000,MATCH(F192,Produits!$A$2:$A$3000,0)),"")</f>
        <v/>
      </c>
      <c r="J192" s="62" t="n">
        <v>0.06</v>
      </c>
      <c r="K192" s="59">
        <f>IF(OR(H192="",I192=""),"",ROUND(H192*I192*(1-J192),2))</f>
        <v/>
      </c>
      <c r="L192" s="58" t="n">
        <v>46048</v>
      </c>
      <c r="M192" s="58" t="n">
        <v>46048</v>
      </c>
      <c r="N192" s="60">
        <f>IF(M192="","",MAX(0,M192-L192))</f>
        <v/>
      </c>
      <c r="O192" s="57" t="inlineStr">
        <is>
          <t>Facturée</t>
        </is>
      </c>
      <c r="P192" s="57" t="inlineStr">
        <is>
          <t>U007</t>
        </is>
      </c>
    </row>
    <row r="193" ht="15" customHeight="1" s="34">
      <c r="A193" s="57" t="inlineStr">
        <is>
          <t>CMD-2026-0192</t>
        </is>
      </c>
      <c r="B193" s="57" t="inlineStr">
        <is>
          <t>PO-INT-75799</t>
        </is>
      </c>
      <c r="C193" s="58" t="n">
        <v>46037</v>
      </c>
      <c r="D193" s="57" t="inlineStr">
        <is>
          <t>E004</t>
        </is>
      </c>
      <c r="E193" s="57">
        <f>IFERROR(INDEX(Entreprises!$B$2:$B$3000,MATCH(D193,Entreprises!$A$2:$A$3000,0)),"")</f>
        <v/>
      </c>
      <c r="F193" s="57" t="inlineStr">
        <is>
          <t>P008</t>
        </is>
      </c>
      <c r="G193" s="57">
        <f>IFERROR(INDEX(Produits!$C$2:$C$3000,MATCH(F193,Produits!$A$2:$A$3000,0)),"")</f>
        <v/>
      </c>
      <c r="H193" s="60" t="n">
        <v>31</v>
      </c>
      <c r="I193" s="59">
        <f>IFERROR(INDEX(Produits!$G$2:$G$3000,MATCH(F193,Produits!$A$2:$A$3000,0)),"")</f>
        <v/>
      </c>
      <c r="J193" s="62" t="n">
        <v>0.04</v>
      </c>
      <c r="K193" s="59">
        <f>IF(OR(H193="",I193=""),"",ROUND(H193*I193*(1-J193),2))</f>
        <v/>
      </c>
      <c r="L193" s="58" t="n">
        <v>46051</v>
      </c>
      <c r="M193" s="58" t="n">
        <v>46051</v>
      </c>
      <c r="N193" s="60">
        <f>IF(M193="","",MAX(0,M193-L193))</f>
        <v/>
      </c>
      <c r="O193" s="57" t="inlineStr">
        <is>
          <t>Facturée</t>
        </is>
      </c>
      <c r="P193" s="57" t="inlineStr">
        <is>
          <t>U002</t>
        </is>
      </c>
    </row>
    <row r="194" ht="15" customHeight="1" s="34">
      <c r="A194" s="57" t="inlineStr">
        <is>
          <t>CMD-2026-0193</t>
        </is>
      </c>
      <c r="B194" s="57" t="inlineStr">
        <is>
          <t>PO-BON-23840</t>
        </is>
      </c>
      <c r="C194" s="58" t="n">
        <v>46038</v>
      </c>
      <c r="D194" s="57" t="inlineStr">
        <is>
          <t>E001</t>
        </is>
      </c>
      <c r="E194" s="57">
        <f>IFERROR(INDEX(Entreprises!$B$2:$B$3000,MATCH(D194,Entreprises!$A$2:$A$3000,0)),"")</f>
        <v/>
      </c>
      <c r="F194" s="57" t="inlineStr">
        <is>
          <t>P003</t>
        </is>
      </c>
      <c r="G194" s="57">
        <f>IFERROR(INDEX(Produits!$C$2:$C$3000,MATCH(F194,Produits!$A$2:$A$3000,0)),"")</f>
        <v/>
      </c>
      <c r="H194" s="60" t="n">
        <v>166</v>
      </c>
      <c r="I194" s="59">
        <f>IFERROR(INDEX(Produits!$G$2:$G$3000,MATCH(F194,Produits!$A$2:$A$3000,0)),"")</f>
        <v/>
      </c>
      <c r="J194" s="62" t="n">
        <v>0.07000000000000001</v>
      </c>
      <c r="K194" s="59">
        <f>IF(OR(H194="",I194=""),"",ROUND(H194*I194*(1-J194),2))</f>
        <v/>
      </c>
      <c r="L194" s="58" t="n">
        <v>46052</v>
      </c>
      <c r="M194" s="58" t="n">
        <v>46055</v>
      </c>
      <c r="N194" s="60">
        <f>IF(M194="","",MAX(0,M194-L194))</f>
        <v/>
      </c>
      <c r="O194" s="57" t="inlineStr">
        <is>
          <t>Facturée</t>
        </is>
      </c>
      <c r="P194" s="57" t="inlineStr">
        <is>
          <t>U002</t>
        </is>
      </c>
    </row>
    <row r="195" ht="15" customHeight="1" s="34">
      <c r="A195" s="57" t="inlineStr">
        <is>
          <t>CMD-2026-0194</t>
        </is>
      </c>
      <c r="B195" s="57" t="inlineStr">
        <is>
          <t>PO-LOR-71206</t>
        </is>
      </c>
      <c r="C195" s="58" t="n">
        <v>46051</v>
      </c>
      <c r="D195" s="57" t="inlineStr">
        <is>
          <t>E027</t>
        </is>
      </c>
      <c r="E195" s="57">
        <f>IFERROR(INDEX(Entreprises!$B$2:$B$3000,MATCH(D195,Entreprises!$A$2:$A$3000,0)),"")</f>
        <v/>
      </c>
      <c r="F195" s="57" t="inlineStr">
        <is>
          <t>P008</t>
        </is>
      </c>
      <c r="G195" s="57">
        <f>IFERROR(INDEX(Produits!$C$2:$C$3000,MATCH(F195,Produits!$A$2:$A$3000,0)),"")</f>
        <v/>
      </c>
      <c r="H195" s="60" t="n">
        <v>239</v>
      </c>
      <c r="I195" s="59">
        <f>IFERROR(INDEX(Produits!$G$2:$G$3000,MATCH(F195,Produits!$A$2:$A$3000,0)),"")</f>
        <v/>
      </c>
      <c r="J195" s="62" t="n">
        <v>0.08</v>
      </c>
      <c r="K195" s="59">
        <f>IF(OR(H195="",I195=""),"",ROUND(H195*I195*(1-J195),2))</f>
        <v/>
      </c>
      <c r="L195" s="58" t="n">
        <v>46065</v>
      </c>
      <c r="M195" s="58" t="n">
        <v>46063</v>
      </c>
      <c r="N195" s="60">
        <f>IF(M195="","",MAX(0,M195-L195))</f>
        <v/>
      </c>
      <c r="O195" s="57" t="inlineStr">
        <is>
          <t>Facturée</t>
        </is>
      </c>
      <c r="P195" s="57" t="inlineStr">
        <is>
          <t>U007</t>
        </is>
      </c>
    </row>
    <row r="196" ht="15" customHeight="1" s="34">
      <c r="A196" s="57" t="inlineStr">
        <is>
          <t>CMD-2026-0195</t>
        </is>
      </c>
      <c r="B196" s="57" t="inlineStr">
        <is>
          <t>PO-GUE-81612</t>
        </is>
      </c>
      <c r="C196" s="58" t="n">
        <v>46052</v>
      </c>
      <c r="D196" s="57" t="inlineStr">
        <is>
          <t>E003</t>
        </is>
      </c>
      <c r="E196" s="57">
        <f>IFERROR(INDEX(Entreprises!$B$2:$B$3000,MATCH(D196,Entreprises!$A$2:$A$3000,0)),"")</f>
        <v/>
      </c>
      <c r="F196" s="57" t="inlineStr">
        <is>
          <t>P002</t>
        </is>
      </c>
      <c r="G196" s="57">
        <f>IFERROR(INDEX(Produits!$C$2:$C$3000,MATCH(F196,Produits!$A$2:$A$3000,0)),"")</f>
        <v/>
      </c>
      <c r="H196" s="60" t="n">
        <v>168</v>
      </c>
      <c r="I196" s="59">
        <f>IFERROR(INDEX(Produits!$G$2:$G$3000,MATCH(F196,Produits!$A$2:$A$3000,0)),"")</f>
        <v/>
      </c>
      <c r="J196" s="62" t="n">
        <v>0.03</v>
      </c>
      <c r="K196" s="59">
        <f>IF(OR(H196="",I196=""),"",ROUND(H196*I196*(1-J196),2))</f>
        <v/>
      </c>
      <c r="L196" s="58" t="n">
        <v>46066</v>
      </c>
      <c r="M196" s="58" t="n">
        <v>46066</v>
      </c>
      <c r="N196" s="60">
        <f>IF(M196="","",MAX(0,M196-L196))</f>
        <v/>
      </c>
      <c r="O196" s="57" t="inlineStr">
        <is>
          <t>Facturée</t>
        </is>
      </c>
      <c r="P196" s="57" t="inlineStr">
        <is>
          <t>U002</t>
        </is>
      </c>
    </row>
    <row r="197" ht="15" customHeight="1" s="34">
      <c r="A197" s="57" t="inlineStr">
        <is>
          <t>CMD-2026-0196</t>
        </is>
      </c>
      <c r="B197" s="57" t="inlineStr">
        <is>
          <t>PO-BIO-96514</t>
        </is>
      </c>
      <c r="C197" s="58" t="n">
        <v>46052</v>
      </c>
      <c r="D197" s="57" t="inlineStr">
        <is>
          <t>E012</t>
        </is>
      </c>
      <c r="E197" s="57">
        <f>IFERROR(INDEX(Entreprises!$B$2:$B$3000,MATCH(D197,Entreprises!$A$2:$A$3000,0)),"")</f>
        <v/>
      </c>
      <c r="F197" s="57" t="inlineStr">
        <is>
          <t>P003</t>
        </is>
      </c>
      <c r="G197" s="57">
        <f>IFERROR(INDEX(Produits!$C$2:$C$3000,MATCH(F197,Produits!$A$2:$A$3000,0)),"")</f>
        <v/>
      </c>
      <c r="H197" s="60" t="n">
        <v>200</v>
      </c>
      <c r="I197" s="59">
        <f>IFERROR(INDEX(Produits!$G$2:$G$3000,MATCH(F197,Produits!$A$2:$A$3000,0)),"")</f>
        <v/>
      </c>
      <c r="J197" s="62" t="n">
        <v>0.07000000000000001</v>
      </c>
      <c r="K197" s="59">
        <f>IF(OR(H197="",I197=""),"",ROUND(H197*I197*(1-J197),2))</f>
        <v/>
      </c>
      <c r="L197" s="58" t="n">
        <v>46066</v>
      </c>
      <c r="M197" s="58" t="n">
        <v>46069</v>
      </c>
      <c r="N197" s="60">
        <f>IF(M197="","",MAX(0,M197-L197))</f>
        <v/>
      </c>
      <c r="O197" s="57" t="inlineStr">
        <is>
          <t>Facturée</t>
        </is>
      </c>
      <c r="P197" s="57" t="inlineStr">
        <is>
          <t>U004</t>
        </is>
      </c>
    </row>
    <row r="198" ht="15" customHeight="1" s="34">
      <c r="A198" s="57" t="inlineStr">
        <is>
          <t>CMD-2026-0197</t>
        </is>
      </c>
      <c r="B198" s="57" t="inlineStr">
        <is>
          <t>PO-KRO-21403</t>
        </is>
      </c>
      <c r="C198" s="58" t="n">
        <v>46056</v>
      </c>
      <c r="D198" s="57" t="inlineStr">
        <is>
          <t>E011</t>
        </is>
      </c>
      <c r="E198" s="57">
        <f>IFERROR(INDEX(Entreprises!$B$2:$B$3000,MATCH(D198,Entreprises!$A$2:$A$3000,0)),"")</f>
        <v/>
      </c>
      <c r="F198" s="57" t="inlineStr">
        <is>
          <t>P007</t>
        </is>
      </c>
      <c r="G198" s="57">
        <f>IFERROR(INDEX(Produits!$C$2:$C$3000,MATCH(F198,Produits!$A$2:$A$3000,0)),"")</f>
        <v/>
      </c>
      <c r="H198" s="60" t="n">
        <v>26</v>
      </c>
      <c r="I198" s="59">
        <f>IFERROR(INDEX(Produits!$G$2:$G$3000,MATCH(F198,Produits!$A$2:$A$3000,0)),"")</f>
        <v/>
      </c>
      <c r="J198" s="62" t="n">
        <v>0.06</v>
      </c>
      <c r="K198" s="59">
        <f>IF(OR(H198="",I198=""),"",ROUND(H198*I198*(1-J198),2))</f>
        <v/>
      </c>
      <c r="L198" s="58" t="n">
        <v>46070</v>
      </c>
      <c r="M198" s="58" t="n">
        <v>46070</v>
      </c>
      <c r="N198" s="60">
        <f>IF(M198="","",MAX(0,M198-L198))</f>
        <v/>
      </c>
      <c r="O198" s="57" t="inlineStr">
        <is>
          <t>Facturée</t>
        </is>
      </c>
      <c r="P198" s="57" t="inlineStr">
        <is>
          <t>U003</t>
        </is>
      </c>
    </row>
    <row r="199" ht="15" customHeight="1" s="34">
      <c r="A199" s="57" t="inlineStr">
        <is>
          <t>CMD-2026-0198</t>
        </is>
      </c>
      <c r="B199" s="57" t="inlineStr">
        <is>
          <t>PO-SEB-47940</t>
        </is>
      </c>
      <c r="C199" s="58" t="n">
        <v>46056</v>
      </c>
      <c r="D199" s="57" t="inlineStr">
        <is>
          <t>E014</t>
        </is>
      </c>
      <c r="E199" s="57">
        <f>IFERROR(INDEX(Entreprises!$B$2:$B$3000,MATCH(D199,Entreprises!$A$2:$A$3000,0)),"")</f>
        <v/>
      </c>
      <c r="F199" s="57" t="inlineStr">
        <is>
          <t>P007</t>
        </is>
      </c>
      <c r="G199" s="57">
        <f>IFERROR(INDEX(Produits!$C$2:$C$3000,MATCH(F199,Produits!$A$2:$A$3000,0)),"")</f>
        <v/>
      </c>
      <c r="H199" s="60" t="n">
        <v>72</v>
      </c>
      <c r="I199" s="59">
        <f>IFERROR(INDEX(Produits!$G$2:$G$3000,MATCH(F199,Produits!$A$2:$A$3000,0)),"")</f>
        <v/>
      </c>
      <c r="J199" s="62" t="n">
        <v>0.06</v>
      </c>
      <c r="K199" s="59">
        <f>IF(OR(H199="",I199=""),"",ROUND(H199*I199*(1-J199),2))</f>
        <v/>
      </c>
      <c r="L199" s="58" t="n">
        <v>46070</v>
      </c>
      <c r="M199" s="58" t="n">
        <v>46069</v>
      </c>
      <c r="N199" s="60">
        <f>IF(M199="","",MAX(0,M199-L199))</f>
        <v/>
      </c>
      <c r="O199" s="57" t="inlineStr">
        <is>
          <t>Facturée</t>
        </is>
      </c>
      <c r="P199" s="57" t="inlineStr">
        <is>
          <t>U004</t>
        </is>
      </c>
    </row>
    <row r="200" ht="15" customHeight="1" s="34">
      <c r="A200" s="57" t="inlineStr">
        <is>
          <t>CMD-2026-0199</t>
        </is>
      </c>
      <c r="B200" s="57" t="inlineStr">
        <is>
          <t>PO-BOI-94776</t>
        </is>
      </c>
      <c r="C200" s="58" t="n">
        <v>46058</v>
      </c>
      <c r="D200" s="57" t="inlineStr">
        <is>
          <t>E013</t>
        </is>
      </c>
      <c r="E200" s="57">
        <f>IFERROR(INDEX(Entreprises!$B$2:$B$3000,MATCH(D200,Entreprises!$A$2:$A$3000,0)),"")</f>
        <v/>
      </c>
      <c r="F200" s="57" t="inlineStr">
        <is>
          <t>P001</t>
        </is>
      </c>
      <c r="G200" s="57">
        <f>IFERROR(INDEX(Produits!$C$2:$C$3000,MATCH(F200,Produits!$A$2:$A$3000,0)),"")</f>
        <v/>
      </c>
      <c r="H200" s="60" t="n">
        <v>64</v>
      </c>
      <c r="I200" s="59">
        <f>IFERROR(INDEX(Produits!$G$2:$G$3000,MATCH(F200,Produits!$A$2:$A$3000,0)),"")</f>
        <v/>
      </c>
      <c r="J200" s="62" t="n">
        <v>0.04</v>
      </c>
      <c r="K200" s="59">
        <f>IF(OR(H200="",I200=""),"",ROUND(H200*I200*(1-J200),2))</f>
        <v/>
      </c>
      <c r="L200" s="58" t="n">
        <v>46072</v>
      </c>
      <c r="M200" s="58" t="n">
        <v>46076</v>
      </c>
      <c r="N200" s="60">
        <f>IF(M200="","",MAX(0,M200-L200))</f>
        <v/>
      </c>
      <c r="O200" s="57" t="inlineStr">
        <is>
          <t>Facturée</t>
        </is>
      </c>
      <c r="P200" s="57" t="inlineStr">
        <is>
          <t>U004</t>
        </is>
      </c>
    </row>
    <row r="201" ht="15" customHeight="1" s="34">
      <c r="A201" s="57" t="inlineStr">
        <is>
          <t>CMD-2026-0200</t>
        </is>
      </c>
      <c r="B201" s="57" t="inlineStr">
        <is>
          <t>PO-SCH-96957</t>
        </is>
      </c>
      <c r="C201" s="58" t="n">
        <v>46058</v>
      </c>
      <c r="D201" s="57" t="inlineStr">
        <is>
          <t>E030</t>
        </is>
      </c>
      <c r="E201" s="57">
        <f>IFERROR(INDEX(Entreprises!$B$2:$B$3000,MATCH(D201,Entreprises!$A$2:$A$3000,0)),"")</f>
        <v/>
      </c>
      <c r="F201" s="57" t="inlineStr">
        <is>
          <t>P008</t>
        </is>
      </c>
      <c r="G201" s="57">
        <f>IFERROR(INDEX(Produits!$C$2:$C$3000,MATCH(F201,Produits!$A$2:$A$3000,0)),"")</f>
        <v/>
      </c>
      <c r="H201" s="60" t="n">
        <v>95</v>
      </c>
      <c r="I201" s="59">
        <f>IFERROR(INDEX(Produits!$G$2:$G$3000,MATCH(F201,Produits!$A$2:$A$3000,0)),"")</f>
        <v/>
      </c>
      <c r="J201" s="62" t="n">
        <v>0.06</v>
      </c>
      <c r="K201" s="59">
        <f>IF(OR(H201="",I201=""),"",ROUND(H201*I201*(1-J201),2))</f>
        <v/>
      </c>
      <c r="L201" s="58" t="n">
        <v>46072</v>
      </c>
      <c r="M201" s="58" t="n">
        <v>46076</v>
      </c>
      <c r="N201" s="60">
        <f>IF(M201="","",MAX(0,M201-L201))</f>
        <v/>
      </c>
      <c r="O201" s="57" t="inlineStr">
        <is>
          <t>Facturée</t>
        </is>
      </c>
      <c r="P201" s="57" t="inlineStr">
        <is>
          <t>U007</t>
        </is>
      </c>
    </row>
    <row r="202" ht="15" customHeight="1" s="34">
      <c r="A202" s="57" t="inlineStr">
        <is>
          <t>CMD-2026-0201</t>
        </is>
      </c>
      <c r="B202" s="57" t="inlineStr">
        <is>
          <t>PO-PIE-13313</t>
        </is>
      </c>
      <c r="C202" s="58" t="n">
        <v>46062</v>
      </c>
      <c r="D202" s="57" t="inlineStr">
        <is>
          <t>E019</t>
        </is>
      </c>
      <c r="E202" s="57">
        <f>IFERROR(INDEX(Entreprises!$B$2:$B$3000,MATCH(D202,Entreprises!$A$2:$A$3000,0)),"")</f>
        <v/>
      </c>
      <c r="F202" s="57" t="inlineStr">
        <is>
          <t>P001</t>
        </is>
      </c>
      <c r="G202" s="57">
        <f>IFERROR(INDEX(Produits!$C$2:$C$3000,MATCH(F202,Produits!$A$2:$A$3000,0)),"")</f>
        <v/>
      </c>
      <c r="H202" s="60" t="n">
        <v>238</v>
      </c>
      <c r="I202" s="59">
        <f>IFERROR(INDEX(Produits!$G$2:$G$3000,MATCH(F202,Produits!$A$2:$A$3000,0)),"")</f>
        <v/>
      </c>
      <c r="J202" s="62" t="n">
        <v>0.08</v>
      </c>
      <c r="K202" s="59">
        <f>IF(OR(H202="",I202=""),"",ROUND(H202*I202*(1-J202),2))</f>
        <v/>
      </c>
      <c r="L202" s="58" t="n">
        <v>46076</v>
      </c>
      <c r="M202" s="58" t="n">
        <v>46076</v>
      </c>
      <c r="N202" s="60">
        <f>IF(M202="","",MAX(0,M202-L202))</f>
        <v/>
      </c>
      <c r="O202" s="57" t="inlineStr">
        <is>
          <t>Facturée</t>
        </is>
      </c>
      <c r="P202" s="57" t="inlineStr">
        <is>
          <t>U005</t>
        </is>
      </c>
    </row>
    <row r="203" ht="15" customHeight="1" s="34">
      <c r="A203" s="57" t="inlineStr">
        <is>
          <t>CMD-2026-0202</t>
        </is>
      </c>
      <c r="B203" s="57" t="inlineStr">
        <is>
          <t>PO-NEX-26833</t>
        </is>
      </c>
      <c r="C203" s="58" t="n">
        <v>46066</v>
      </c>
      <c r="D203" s="57" t="inlineStr">
        <is>
          <t>E007</t>
        </is>
      </c>
      <c r="E203" s="57">
        <f>IFERROR(INDEX(Entreprises!$B$2:$B$3000,MATCH(D203,Entreprises!$A$2:$A$3000,0)),"")</f>
        <v/>
      </c>
      <c r="F203" s="57" t="inlineStr">
        <is>
          <t>P007</t>
        </is>
      </c>
      <c r="G203" s="57">
        <f>IFERROR(INDEX(Produits!$C$2:$C$3000,MATCH(F203,Produits!$A$2:$A$3000,0)),"")</f>
        <v/>
      </c>
      <c r="H203" s="60" t="n">
        <v>32</v>
      </c>
      <c r="I203" s="59">
        <f>IFERROR(INDEX(Produits!$G$2:$G$3000,MATCH(F203,Produits!$A$2:$A$3000,0)),"")</f>
        <v/>
      </c>
      <c r="J203" s="62" t="n">
        <v>0.05</v>
      </c>
      <c r="K203" s="59">
        <f>IF(OR(H203="",I203=""),"",ROUND(H203*I203*(1-J203),2))</f>
        <v/>
      </c>
      <c r="L203" s="58" t="n">
        <v>46080</v>
      </c>
      <c r="M203" s="58" t="n">
        <v>46083</v>
      </c>
      <c r="N203" s="60">
        <f>IF(M203="","",MAX(0,M203-L203))</f>
        <v/>
      </c>
      <c r="O203" s="57" t="inlineStr">
        <is>
          <t>Facturée</t>
        </is>
      </c>
      <c r="P203" s="57" t="inlineStr">
        <is>
          <t>U002</t>
        </is>
      </c>
    </row>
    <row r="204" ht="15" customHeight="1" s="34">
      <c r="A204" s="57" t="inlineStr">
        <is>
          <t>CMD-2026-0203</t>
        </is>
      </c>
      <c r="B204" s="57" t="inlineStr">
        <is>
          <t>PO-REM-70178</t>
        </is>
      </c>
      <c r="C204" s="58" t="n">
        <v>46069</v>
      </c>
      <c r="D204" s="57" t="inlineStr">
        <is>
          <t>E017</t>
        </is>
      </c>
      <c r="E204" s="57">
        <f>IFERROR(INDEX(Entreprises!$B$2:$B$3000,MATCH(D204,Entreprises!$A$2:$A$3000,0)),"")</f>
        <v/>
      </c>
      <c r="F204" s="57" t="inlineStr">
        <is>
          <t>P005</t>
        </is>
      </c>
      <c r="G204" s="57">
        <f>IFERROR(INDEX(Produits!$C$2:$C$3000,MATCH(F204,Produits!$A$2:$A$3000,0)),"")</f>
        <v/>
      </c>
      <c r="H204" s="60" t="n">
        <v>23</v>
      </c>
      <c r="I204" s="59">
        <f>IFERROR(INDEX(Produits!$G$2:$G$3000,MATCH(F204,Produits!$A$2:$A$3000,0)),"")</f>
        <v/>
      </c>
      <c r="J204" s="62" t="n">
        <v>0.05</v>
      </c>
      <c r="K204" s="59">
        <f>IF(OR(H204="",I204=""),"",ROUND(H204*I204*(1-J204),2))</f>
        <v/>
      </c>
      <c r="L204" s="58" t="n">
        <v>46083</v>
      </c>
      <c r="M204" s="58" t="n">
        <v>46085</v>
      </c>
      <c r="N204" s="60">
        <f>IF(M204="","",MAX(0,M204-L204))</f>
        <v/>
      </c>
      <c r="O204" s="57" t="inlineStr">
        <is>
          <t>Facturée</t>
        </is>
      </c>
      <c r="P204" s="57" t="inlineStr">
        <is>
          <t>U005</t>
        </is>
      </c>
    </row>
    <row r="205" ht="15" customHeight="1" s="34">
      <c r="A205" s="57" t="inlineStr">
        <is>
          <t>CMD-2026-0204</t>
        </is>
      </c>
      <c r="B205" s="57" t="inlineStr">
        <is>
          <t>PO-PER-32788</t>
        </is>
      </c>
      <c r="C205" s="58" t="n">
        <v>46069</v>
      </c>
      <c r="D205" s="57" t="inlineStr">
        <is>
          <t>E025</t>
        </is>
      </c>
      <c r="E205" s="57">
        <f>IFERROR(INDEX(Entreprises!$B$2:$B$3000,MATCH(D205,Entreprises!$A$2:$A$3000,0)),"")</f>
        <v/>
      </c>
      <c r="F205" s="57" t="inlineStr">
        <is>
          <t>P005</t>
        </is>
      </c>
      <c r="G205" s="57">
        <f>IFERROR(INDEX(Produits!$C$2:$C$3000,MATCH(F205,Produits!$A$2:$A$3000,0)),"")</f>
        <v/>
      </c>
      <c r="H205" s="60" t="n">
        <v>80</v>
      </c>
      <c r="I205" s="59">
        <f>IFERROR(INDEX(Produits!$G$2:$G$3000,MATCH(F205,Produits!$A$2:$A$3000,0)),"")</f>
        <v/>
      </c>
      <c r="J205" s="62" t="n">
        <v>0.08</v>
      </c>
      <c r="K205" s="59">
        <f>IF(OR(H205="",I205=""),"",ROUND(H205*I205*(1-J205),2))</f>
        <v/>
      </c>
      <c r="L205" s="58" t="n">
        <v>46083</v>
      </c>
      <c r="M205" s="58" t="n">
        <v>46083</v>
      </c>
      <c r="N205" s="60">
        <f>IF(M205="","",MAX(0,M205-L205))</f>
        <v/>
      </c>
      <c r="O205" s="57" t="inlineStr">
        <is>
          <t>Facturée</t>
        </is>
      </c>
      <c r="P205" s="57" t="inlineStr">
        <is>
          <t>U007</t>
        </is>
      </c>
    </row>
    <row r="206" ht="15" customHeight="1" s="34">
      <c r="A206" s="57" t="inlineStr">
        <is>
          <t>CMD-2026-0205</t>
        </is>
      </c>
      <c r="B206" s="57" t="inlineStr">
        <is>
          <t>PO-SAN-34415</t>
        </is>
      </c>
      <c r="C206" s="58" t="n">
        <v>46071</v>
      </c>
      <c r="D206" s="57" t="inlineStr">
        <is>
          <t>E022</t>
        </is>
      </c>
      <c r="E206" s="57">
        <f>IFERROR(INDEX(Entreprises!$B$2:$B$3000,MATCH(D206,Entreprises!$A$2:$A$3000,0)),"")</f>
        <v/>
      </c>
      <c r="F206" s="57" t="inlineStr">
        <is>
          <t>P002</t>
        </is>
      </c>
      <c r="G206" s="57">
        <f>IFERROR(INDEX(Produits!$C$2:$C$3000,MATCH(F206,Produits!$A$2:$A$3000,0)),"")</f>
        <v/>
      </c>
      <c r="H206" s="60" t="n">
        <v>790</v>
      </c>
      <c r="I206" s="59">
        <f>IFERROR(INDEX(Produits!$G$2:$G$3000,MATCH(F206,Produits!$A$2:$A$3000,0)),"")</f>
        <v/>
      </c>
      <c r="J206" s="62" t="n">
        <v>0.05</v>
      </c>
      <c r="K206" s="59">
        <f>IF(OR(H206="",I206=""),"",ROUND(H206*I206*(1-J206),2))</f>
        <v/>
      </c>
      <c r="L206" s="58" t="n">
        <v>46085</v>
      </c>
      <c r="M206" s="58" t="n">
        <v>46085</v>
      </c>
      <c r="N206" s="60">
        <f>IF(M206="","",MAX(0,M206-L206))</f>
        <v/>
      </c>
      <c r="O206" s="57" t="inlineStr">
        <is>
          <t>Facturée</t>
        </is>
      </c>
      <c r="P206" s="57" t="inlineStr">
        <is>
          <t>U006</t>
        </is>
      </c>
    </row>
    <row r="207" ht="15" customHeight="1" s="34">
      <c r="A207" s="57" t="inlineStr">
        <is>
          <t>CMD-2026-0206</t>
        </is>
      </c>
      <c r="B207" s="57" t="inlineStr">
        <is>
          <t>PO-LES-25725</t>
        </is>
      </c>
      <c r="C207" s="58" t="n">
        <v>46076</v>
      </c>
      <c r="D207" s="57" t="inlineStr">
        <is>
          <t>E002</t>
        </is>
      </c>
      <c r="E207" s="57">
        <f>IFERROR(INDEX(Entreprises!$B$2:$B$3000,MATCH(D207,Entreprises!$A$2:$A$3000,0)),"")</f>
        <v/>
      </c>
      <c r="F207" s="57" t="inlineStr">
        <is>
          <t>P003</t>
        </is>
      </c>
      <c r="G207" s="57">
        <f>IFERROR(INDEX(Produits!$C$2:$C$3000,MATCH(F207,Produits!$A$2:$A$3000,0)),"")</f>
        <v/>
      </c>
      <c r="H207" s="60" t="n">
        <v>137</v>
      </c>
      <c r="I207" s="59">
        <f>IFERROR(INDEX(Produits!$G$2:$G$3000,MATCH(F207,Produits!$A$2:$A$3000,0)),"")</f>
        <v/>
      </c>
      <c r="J207" s="62" t="n">
        <v>0.08</v>
      </c>
      <c r="K207" s="59">
        <f>IF(OR(H207="",I207=""),"",ROUND(H207*I207*(1-J207),2))</f>
        <v/>
      </c>
      <c r="L207" s="58" t="n">
        <v>46090</v>
      </c>
      <c r="M207" s="58" t="n">
        <v>46090</v>
      </c>
      <c r="N207" s="60">
        <f>IF(M207="","",MAX(0,M207-L207))</f>
        <v/>
      </c>
      <c r="O207" s="57" t="inlineStr">
        <is>
          <t>Facturée</t>
        </is>
      </c>
      <c r="P207" s="57" t="inlineStr">
        <is>
          <t>U002</t>
        </is>
      </c>
    </row>
    <row r="208" ht="15" customHeight="1" s="34">
      <c r="A208" s="57" t="inlineStr">
        <is>
          <t>CMD-2026-0207</t>
        </is>
      </c>
      <c r="B208" s="57" t="inlineStr">
        <is>
          <t>PO-LEG-57540</t>
        </is>
      </c>
      <c r="C208" s="58" t="n">
        <v>46078</v>
      </c>
      <c r="D208" s="57" t="inlineStr">
        <is>
          <t>E021</t>
        </is>
      </c>
      <c r="E208" s="57">
        <f>IFERROR(INDEX(Entreprises!$B$2:$B$3000,MATCH(D208,Entreprises!$A$2:$A$3000,0)),"")</f>
        <v/>
      </c>
      <c r="F208" s="57" t="inlineStr">
        <is>
          <t>P008</t>
        </is>
      </c>
      <c r="G208" s="57">
        <f>IFERROR(INDEX(Produits!$C$2:$C$3000,MATCH(F208,Produits!$A$2:$A$3000,0)),"")</f>
        <v/>
      </c>
      <c r="H208" s="60" t="n">
        <v>99</v>
      </c>
      <c r="I208" s="59">
        <f>IFERROR(INDEX(Produits!$G$2:$G$3000,MATCH(F208,Produits!$A$2:$A$3000,0)),"")</f>
        <v/>
      </c>
      <c r="J208" s="62" t="n">
        <v>0.06</v>
      </c>
      <c r="K208" s="59">
        <f>IF(OR(H208="",I208=""),"",ROUND(H208*I208*(1-J208),2))</f>
        <v/>
      </c>
      <c r="L208" s="58" t="n">
        <v>46092</v>
      </c>
      <c r="M208" s="58" t="n">
        <v>46092</v>
      </c>
      <c r="N208" s="60">
        <f>IF(M208="","",MAX(0,M208-L208))</f>
        <v/>
      </c>
      <c r="O208" s="57" t="inlineStr">
        <is>
          <t>Facturée</t>
        </is>
      </c>
      <c r="P208" s="57" t="inlineStr">
        <is>
          <t>U005</t>
        </is>
      </c>
    </row>
    <row r="209" ht="15" customHeight="1" s="34">
      <c r="A209" s="57" t="inlineStr">
        <is>
          <t>CMD-2026-0208</t>
        </is>
      </c>
      <c r="B209" s="57" t="inlineStr">
        <is>
          <t>PO-LAU-18564</t>
        </is>
      </c>
      <c r="C209" s="58" t="n">
        <v>46080</v>
      </c>
      <c r="D209" s="57" t="inlineStr">
        <is>
          <t>E009</t>
        </is>
      </c>
      <c r="E209" s="57">
        <f>IFERROR(INDEX(Entreprises!$B$2:$B$3000,MATCH(D209,Entreprises!$A$2:$A$3000,0)),"")</f>
        <v/>
      </c>
      <c r="F209" s="57" t="inlineStr">
        <is>
          <t>P007</t>
        </is>
      </c>
      <c r="G209" s="57">
        <f>IFERROR(INDEX(Produits!$C$2:$C$3000,MATCH(F209,Produits!$A$2:$A$3000,0)),"")</f>
        <v/>
      </c>
      <c r="H209" s="60" t="n">
        <v>21</v>
      </c>
      <c r="I209" s="59">
        <f>IFERROR(INDEX(Produits!$G$2:$G$3000,MATCH(F209,Produits!$A$2:$A$3000,0)),"")</f>
        <v/>
      </c>
      <c r="J209" s="62" t="n">
        <v>0.04</v>
      </c>
      <c r="K209" s="59">
        <f>IF(OR(H209="",I209=""),"",ROUND(H209*I209*(1-J209),2))</f>
        <v/>
      </c>
      <c r="L209" s="58" t="n">
        <v>46094</v>
      </c>
      <c r="M209" s="58" t="n">
        <v>46092</v>
      </c>
      <c r="N209" s="60">
        <f>IF(M209="","",MAX(0,M209-L209))</f>
        <v/>
      </c>
      <c r="O209" s="57" t="inlineStr">
        <is>
          <t>Facturée</t>
        </is>
      </c>
      <c r="P209" s="57" t="inlineStr">
        <is>
          <t>U003</t>
        </is>
      </c>
    </row>
    <row r="210" ht="15" customHeight="1" s="34">
      <c r="A210" s="57" t="inlineStr">
        <is>
          <t>CMD-2026-0209</t>
        </is>
      </c>
      <c r="B210" s="57" t="inlineStr">
        <is>
          <t>PO-INT-68942</t>
        </is>
      </c>
      <c r="C210" s="58" t="n">
        <v>46083</v>
      </c>
      <c r="D210" s="57" t="inlineStr">
        <is>
          <t>E004</t>
        </is>
      </c>
      <c r="E210" s="57">
        <f>IFERROR(INDEX(Entreprises!$B$2:$B$3000,MATCH(D210,Entreprises!$A$2:$A$3000,0)),"")</f>
        <v/>
      </c>
      <c r="F210" s="57" t="inlineStr">
        <is>
          <t>P008</t>
        </is>
      </c>
      <c r="G210" s="57">
        <f>IFERROR(INDEX(Produits!$C$2:$C$3000,MATCH(F210,Produits!$A$2:$A$3000,0)),"")</f>
        <v/>
      </c>
      <c r="H210" s="60" t="n">
        <v>41</v>
      </c>
      <c r="I210" s="59">
        <f>IFERROR(INDEX(Produits!$G$2:$G$3000,MATCH(F210,Produits!$A$2:$A$3000,0)),"")</f>
        <v/>
      </c>
      <c r="J210" s="62" t="n">
        <v>0.05</v>
      </c>
      <c r="K210" s="59">
        <f>IF(OR(H210="",I210=""),"",ROUND(H210*I210*(1-J210),2))</f>
        <v/>
      </c>
      <c r="L210" s="58" t="n">
        <v>46097</v>
      </c>
      <c r="M210" s="58" t="n">
        <v>46097</v>
      </c>
      <c r="N210" s="60">
        <f>IF(M210="","",MAX(0,M210-L210))</f>
        <v/>
      </c>
      <c r="O210" s="57" t="inlineStr">
        <is>
          <t>Facturée</t>
        </is>
      </c>
      <c r="P210" s="57" t="inlineStr">
        <is>
          <t>U002</t>
        </is>
      </c>
    </row>
    <row r="211" ht="15" customHeight="1" s="34">
      <c r="A211" s="57" t="inlineStr">
        <is>
          <t>CMD-2026-0210</t>
        </is>
      </c>
      <c r="B211" s="57" t="inlineStr">
        <is>
          <t>PO-IPS-93899</t>
        </is>
      </c>
      <c r="C211" s="58" t="n">
        <v>46087</v>
      </c>
      <c r="D211" s="57" t="inlineStr">
        <is>
          <t>E023</t>
        </is>
      </c>
      <c r="E211" s="57">
        <f>IFERROR(INDEX(Entreprises!$B$2:$B$3000,MATCH(D211,Entreprises!$A$2:$A$3000,0)),"")</f>
        <v/>
      </c>
      <c r="F211" s="57" t="inlineStr">
        <is>
          <t>P001</t>
        </is>
      </c>
      <c r="G211" s="57">
        <f>IFERROR(INDEX(Produits!$C$2:$C$3000,MATCH(F211,Produits!$A$2:$A$3000,0)),"")</f>
        <v/>
      </c>
      <c r="H211" s="60" t="n">
        <v>126</v>
      </c>
      <c r="I211" s="59">
        <f>IFERROR(INDEX(Produits!$G$2:$G$3000,MATCH(F211,Produits!$A$2:$A$3000,0)),"")</f>
        <v/>
      </c>
      <c r="J211" s="62" t="n">
        <v>0.06</v>
      </c>
      <c r="K211" s="59">
        <f>IF(OR(H211="",I211=""),"",ROUND(H211*I211*(1-J211),2))</f>
        <v/>
      </c>
      <c r="L211" s="58" t="n">
        <v>46101</v>
      </c>
      <c r="M211" s="58" t="n">
        <v>46099</v>
      </c>
      <c r="N211" s="60">
        <f>IF(M211="","",MAX(0,M211-L211))</f>
        <v/>
      </c>
      <c r="O211" s="57" t="inlineStr">
        <is>
          <t>Facturée</t>
        </is>
      </c>
      <c r="P211" s="57" t="inlineStr">
        <is>
          <t>U006</t>
        </is>
      </c>
    </row>
    <row r="212" ht="15" customHeight="1" s="34">
      <c r="A212" s="57" t="inlineStr">
        <is>
          <t>CMD-2026-0211</t>
        </is>
      </c>
      <c r="B212" s="57" t="inlineStr">
        <is>
          <t>PO-MOE-64895</t>
        </is>
      </c>
      <c r="C212" s="58" t="n">
        <v>46090</v>
      </c>
      <c r="D212" s="57" t="inlineStr">
        <is>
          <t>E008</t>
        </is>
      </c>
      <c r="E212" s="57">
        <f>IFERROR(INDEX(Entreprises!$B$2:$B$3000,MATCH(D212,Entreprises!$A$2:$A$3000,0)),"")</f>
        <v/>
      </c>
      <c r="F212" s="57" t="inlineStr">
        <is>
          <t>P005</t>
        </is>
      </c>
      <c r="G212" s="57">
        <f>IFERROR(INDEX(Produits!$C$2:$C$3000,MATCH(F212,Produits!$A$2:$A$3000,0)),"")</f>
        <v/>
      </c>
      <c r="H212" s="60" t="n">
        <v>43</v>
      </c>
      <c r="I212" s="59">
        <f>IFERROR(INDEX(Produits!$G$2:$G$3000,MATCH(F212,Produits!$A$2:$A$3000,0)),"")</f>
        <v/>
      </c>
      <c r="J212" s="62" t="n">
        <v>0.07000000000000001</v>
      </c>
      <c r="K212" s="59">
        <f>IF(OR(H212="",I212=""),"",ROUND(H212*I212*(1-J212),2))</f>
        <v/>
      </c>
      <c r="L212" s="58" t="n">
        <v>46104</v>
      </c>
      <c r="M212" s="58" t="n">
        <v>46104</v>
      </c>
      <c r="N212" s="60">
        <f>IF(M212="","",MAX(0,M212-L212))</f>
        <v/>
      </c>
      <c r="O212" s="57" t="inlineStr">
        <is>
          <t>Facturée</t>
        </is>
      </c>
      <c r="P212" s="57" t="inlineStr">
        <is>
          <t>U003</t>
        </is>
      </c>
    </row>
    <row r="213" ht="15" customHeight="1" s="34">
      <c r="A213" s="57" t="inlineStr">
        <is>
          <t>CMD-2026-0212</t>
        </is>
      </c>
      <c r="B213" s="57" t="inlineStr">
        <is>
          <t>PO-GUE-66953</t>
        </is>
      </c>
      <c r="C213" s="58" t="n">
        <v>46093</v>
      </c>
      <c r="D213" s="57" t="inlineStr">
        <is>
          <t>E003</t>
        </is>
      </c>
      <c r="E213" s="57">
        <f>IFERROR(INDEX(Entreprises!$B$2:$B$3000,MATCH(D213,Entreprises!$A$2:$A$3000,0)),"")</f>
        <v/>
      </c>
      <c r="F213" s="57" t="inlineStr">
        <is>
          <t>P001</t>
        </is>
      </c>
      <c r="G213" s="57">
        <f>IFERROR(INDEX(Produits!$C$2:$C$3000,MATCH(F213,Produits!$A$2:$A$3000,0)),"")</f>
        <v/>
      </c>
      <c r="H213" s="60" t="n">
        <v>151</v>
      </c>
      <c r="I213" s="59">
        <f>IFERROR(INDEX(Produits!$G$2:$G$3000,MATCH(F213,Produits!$A$2:$A$3000,0)),"")</f>
        <v/>
      </c>
      <c r="J213" s="62" t="n">
        <v>0.03</v>
      </c>
      <c r="K213" s="59">
        <f>IF(OR(H213="",I213=""),"",ROUND(H213*I213*(1-J213),2))</f>
        <v/>
      </c>
      <c r="L213" s="58" t="n">
        <v>46107</v>
      </c>
      <c r="M213" s="58" t="n">
        <v>46105</v>
      </c>
      <c r="N213" s="60">
        <f>IF(M213="","",MAX(0,M213-L213))</f>
        <v/>
      </c>
      <c r="O213" s="57" t="inlineStr">
        <is>
          <t>Facturée</t>
        </is>
      </c>
      <c r="P213" s="57" t="inlineStr">
        <is>
          <t>U002</t>
        </is>
      </c>
    </row>
    <row r="214" ht="15" customHeight="1" s="34">
      <c r="A214" s="57" t="inlineStr">
        <is>
          <t>CMD-2026-0213</t>
        </is>
      </c>
      <c r="B214" s="57" t="inlineStr">
        <is>
          <t>PO-BON-85009</t>
        </is>
      </c>
      <c r="C214" s="58" t="n">
        <v>46097</v>
      </c>
      <c r="D214" s="57" t="inlineStr">
        <is>
          <t>E001</t>
        </is>
      </c>
      <c r="E214" s="57">
        <f>IFERROR(INDEX(Entreprises!$B$2:$B$3000,MATCH(D214,Entreprises!$A$2:$A$3000,0)),"")</f>
        <v/>
      </c>
      <c r="F214" s="57" t="inlineStr">
        <is>
          <t>P003</t>
        </is>
      </c>
      <c r="G214" s="57">
        <f>IFERROR(INDEX(Produits!$C$2:$C$3000,MATCH(F214,Produits!$A$2:$A$3000,0)),"")</f>
        <v/>
      </c>
      <c r="H214" s="60" t="n">
        <v>169</v>
      </c>
      <c r="I214" s="59">
        <f>IFERROR(INDEX(Produits!$G$2:$G$3000,MATCH(F214,Produits!$A$2:$A$3000,0)),"")</f>
        <v/>
      </c>
      <c r="J214" s="62" t="n">
        <v>0.07000000000000001</v>
      </c>
      <c r="K214" s="59">
        <f>IF(OR(H214="",I214=""),"",ROUND(H214*I214*(1-J214),2))</f>
        <v/>
      </c>
      <c r="L214" s="58" t="n">
        <v>46111</v>
      </c>
      <c r="M214" s="58" t="n">
        <v>46113</v>
      </c>
      <c r="N214" s="60">
        <f>IF(M214="","",MAX(0,M214-L214))</f>
        <v/>
      </c>
      <c r="O214" s="57" t="inlineStr">
        <is>
          <t>Facturée</t>
        </is>
      </c>
      <c r="P214" s="57" t="inlineStr">
        <is>
          <t>U002</t>
        </is>
      </c>
    </row>
    <row r="215" ht="15" customHeight="1" s="34">
      <c r="A215" s="57" t="inlineStr">
        <is>
          <t>CMD-2026-0214</t>
        </is>
      </c>
      <c r="B215" s="57" t="inlineStr">
        <is>
          <t>PO-DAN-75439</t>
        </is>
      </c>
      <c r="C215" s="58" t="n">
        <v>46097</v>
      </c>
      <c r="D215" s="57" t="inlineStr">
        <is>
          <t>E026</t>
        </is>
      </c>
      <c r="E215" s="57">
        <f>IFERROR(INDEX(Entreprises!$B$2:$B$3000,MATCH(D215,Entreprises!$A$2:$A$3000,0)),"")</f>
        <v/>
      </c>
      <c r="F215" s="57" t="inlineStr">
        <is>
          <t>P003</t>
        </is>
      </c>
      <c r="G215" s="57">
        <f>IFERROR(INDEX(Produits!$C$2:$C$3000,MATCH(F215,Produits!$A$2:$A$3000,0)),"")</f>
        <v/>
      </c>
      <c r="H215" s="60" t="n">
        <v>289</v>
      </c>
      <c r="I215" s="59">
        <f>IFERROR(INDEX(Produits!$G$2:$G$3000,MATCH(F215,Produits!$A$2:$A$3000,0)),"")</f>
        <v/>
      </c>
      <c r="J215" s="62" t="n">
        <v>0.06</v>
      </c>
      <c r="K215" s="59">
        <f>IF(OR(H215="",I215=""),"",ROUND(H215*I215*(1-J215),2))</f>
        <v/>
      </c>
      <c r="L215" s="58" t="n">
        <v>46111</v>
      </c>
      <c r="M215" s="58" t="n">
        <v>46111</v>
      </c>
      <c r="N215" s="60">
        <f>IF(M215="","",MAX(0,M215-L215))</f>
        <v/>
      </c>
      <c r="O215" s="57" t="inlineStr">
        <is>
          <t>Facturée</t>
        </is>
      </c>
      <c r="P215" s="57" t="inlineStr">
        <is>
          <t>U007</t>
        </is>
      </c>
    </row>
    <row r="216" ht="15" customHeight="1" s="34">
      <c r="A216" s="57" t="inlineStr">
        <is>
          <t>CMD-2026-0215</t>
        </is>
      </c>
      <c r="B216" s="57" t="inlineStr">
        <is>
          <t>PO-SAV-21104</t>
        </is>
      </c>
      <c r="C216" s="58" t="n">
        <v>46104</v>
      </c>
      <c r="D216" s="57" t="inlineStr">
        <is>
          <t>E028</t>
        </is>
      </c>
      <c r="E216" s="57">
        <f>IFERROR(INDEX(Entreprises!$B$2:$B$3000,MATCH(D216,Entreprises!$A$2:$A$3000,0)),"")</f>
        <v/>
      </c>
      <c r="F216" s="57" t="inlineStr">
        <is>
          <t>P003</t>
        </is>
      </c>
      <c r="G216" s="57">
        <f>IFERROR(INDEX(Produits!$C$2:$C$3000,MATCH(F216,Produits!$A$2:$A$3000,0)),"")</f>
        <v/>
      </c>
      <c r="H216" s="60" t="n">
        <v>118</v>
      </c>
      <c r="I216" s="59">
        <f>IFERROR(INDEX(Produits!$G$2:$G$3000,MATCH(F216,Produits!$A$2:$A$3000,0)),"")</f>
        <v/>
      </c>
      <c r="J216" s="62" t="n">
        <v>0.05</v>
      </c>
      <c r="K216" s="59">
        <f>IF(OR(H216="",I216=""),"",ROUND(H216*I216*(1-J216),2))</f>
        <v/>
      </c>
      <c r="L216" s="58" t="n">
        <v>46118</v>
      </c>
      <c r="M216" s="58" t="n">
        <v>46118</v>
      </c>
      <c r="N216" s="60">
        <f>IF(M216="","",MAX(0,M216-L216))</f>
        <v/>
      </c>
      <c r="O216" s="57" t="inlineStr">
        <is>
          <t>Facturée</t>
        </is>
      </c>
      <c r="P216" s="57" t="inlineStr">
        <is>
          <t>U007</t>
        </is>
      </c>
    </row>
    <row r="217" ht="15" customHeight="1" s="34">
      <c r="A217" s="57" t="inlineStr">
        <is>
          <t>CMD-2026-0216</t>
        </is>
      </c>
      <c r="B217" s="57" t="inlineStr">
        <is>
          <t>PO-BOI-62355</t>
        </is>
      </c>
      <c r="C217" s="58" t="n">
        <v>46105</v>
      </c>
      <c r="D217" s="57" t="inlineStr">
        <is>
          <t>E013</t>
        </is>
      </c>
      <c r="E217" s="57">
        <f>IFERROR(INDEX(Entreprises!$B$2:$B$3000,MATCH(D217,Entreprises!$A$2:$A$3000,0)),"")</f>
        <v/>
      </c>
      <c r="F217" s="57" t="inlineStr">
        <is>
          <t>P002</t>
        </is>
      </c>
      <c r="G217" s="57">
        <f>IFERROR(INDEX(Produits!$C$2:$C$3000,MATCH(F217,Produits!$A$2:$A$3000,0)),"")</f>
        <v/>
      </c>
      <c r="H217" s="60" t="n">
        <v>152</v>
      </c>
      <c r="I217" s="59">
        <f>IFERROR(INDEX(Produits!$G$2:$G$3000,MATCH(F217,Produits!$A$2:$A$3000,0)),"")</f>
        <v/>
      </c>
      <c r="J217" s="62" t="n">
        <v>0.03</v>
      </c>
      <c r="K217" s="59">
        <f>IF(OR(H217="",I217=""),"",ROUND(H217*I217*(1-J217),2))</f>
        <v/>
      </c>
      <c r="L217" s="58" t="n">
        <v>46119</v>
      </c>
      <c r="M217" s="58" t="n">
        <v>46118</v>
      </c>
      <c r="N217" s="60">
        <f>IF(M217="","",MAX(0,M217-L217))</f>
        <v/>
      </c>
      <c r="O217" s="57" t="inlineStr">
        <is>
          <t>Facturée</t>
        </is>
      </c>
      <c r="P217" s="57" t="inlineStr">
        <is>
          <t>U004</t>
        </is>
      </c>
    </row>
    <row r="218" ht="15" customHeight="1" s="34">
      <c r="A218" s="57" t="inlineStr">
        <is>
          <t>CMD-2026-0217</t>
        </is>
      </c>
      <c r="B218" s="57" t="inlineStr">
        <is>
          <t>PO-MAI-62120</t>
        </is>
      </c>
      <c r="C218" s="58" t="n">
        <v>46106</v>
      </c>
      <c r="D218" s="57" t="inlineStr">
        <is>
          <t>E018</t>
        </is>
      </c>
      <c r="E218" s="57">
        <f>IFERROR(INDEX(Entreprises!$B$2:$B$3000,MATCH(D218,Entreprises!$A$2:$A$3000,0)),"")</f>
        <v/>
      </c>
      <c r="F218" s="57" t="inlineStr">
        <is>
          <t>P006</t>
        </is>
      </c>
      <c r="G218" s="57">
        <f>IFERROR(INDEX(Produits!$C$2:$C$3000,MATCH(F218,Produits!$A$2:$A$3000,0)),"")</f>
        <v/>
      </c>
      <c r="H218" s="60" t="n">
        <v>6</v>
      </c>
      <c r="I218" s="59">
        <f>IFERROR(INDEX(Produits!$G$2:$G$3000,MATCH(F218,Produits!$A$2:$A$3000,0)),"")</f>
        <v/>
      </c>
      <c r="J218" s="62" t="n">
        <v>0.01</v>
      </c>
      <c r="K218" s="59">
        <f>IF(OR(H218="",I218=""),"",ROUND(H218*I218*(1-J218),2))</f>
        <v/>
      </c>
      <c r="L218" s="58" t="n">
        <v>46120</v>
      </c>
      <c r="M218" s="58" t="n">
        <v>46119</v>
      </c>
      <c r="N218" s="60">
        <f>IF(M218="","",MAX(0,M218-L218))</f>
        <v/>
      </c>
      <c r="O218" s="57" t="inlineStr">
        <is>
          <t>Facturée</t>
        </is>
      </c>
      <c r="P218" s="57" t="inlineStr">
        <is>
          <t>U005</t>
        </is>
      </c>
    </row>
    <row r="219" ht="15" customHeight="1" s="34">
      <c r="A219" s="57" t="inlineStr">
        <is>
          <t>CMD-2026-0218</t>
        </is>
      </c>
      <c r="B219" s="57" t="inlineStr">
        <is>
          <t>PO-SCH-93282</t>
        </is>
      </c>
      <c r="C219" s="58" t="n">
        <v>46107</v>
      </c>
      <c r="D219" s="57" t="inlineStr">
        <is>
          <t>E030</t>
        </is>
      </c>
      <c r="E219" s="57">
        <f>IFERROR(INDEX(Entreprises!$B$2:$B$3000,MATCH(D219,Entreprises!$A$2:$A$3000,0)),"")</f>
        <v/>
      </c>
      <c r="F219" s="57" t="inlineStr">
        <is>
          <t>P008</t>
        </is>
      </c>
      <c r="G219" s="57">
        <f>IFERROR(INDEX(Produits!$C$2:$C$3000,MATCH(F219,Produits!$A$2:$A$3000,0)),"")</f>
        <v/>
      </c>
      <c r="H219" s="60" t="n">
        <v>120</v>
      </c>
      <c r="I219" s="59">
        <f>IFERROR(INDEX(Produits!$G$2:$G$3000,MATCH(F219,Produits!$A$2:$A$3000,0)),"")</f>
        <v/>
      </c>
      <c r="J219" s="62" t="n">
        <v>0.07000000000000001</v>
      </c>
      <c r="K219" s="59">
        <f>IF(OR(H219="",I219=""),"",ROUND(H219*I219*(1-J219),2))</f>
        <v/>
      </c>
      <c r="L219" s="58" t="n">
        <v>46121</v>
      </c>
      <c r="M219" s="58" t="n">
        <v>46125</v>
      </c>
      <c r="N219" s="60">
        <f>IF(M219="","",MAX(0,M219-L219))</f>
        <v/>
      </c>
      <c r="O219" s="57" t="inlineStr">
        <is>
          <t>Facturée</t>
        </is>
      </c>
      <c r="P219" s="57" t="inlineStr">
        <is>
          <t>U007</t>
        </is>
      </c>
    </row>
    <row r="220" ht="15" customHeight="1" s="34">
      <c r="A220" s="57" t="inlineStr">
        <is>
          <t>CMD-2026-0219</t>
        </is>
      </c>
      <c r="B220" s="57" t="inlineStr">
        <is>
          <t>PO-SEB-64115</t>
        </is>
      </c>
      <c r="C220" s="58" t="n">
        <v>46111</v>
      </c>
      <c r="D220" s="57" t="inlineStr">
        <is>
          <t>E014</t>
        </is>
      </c>
      <c r="E220" s="57">
        <f>IFERROR(INDEX(Entreprises!$B$2:$B$3000,MATCH(D220,Entreprises!$A$2:$A$3000,0)),"")</f>
        <v/>
      </c>
      <c r="F220" s="57" t="inlineStr">
        <is>
          <t>P008</t>
        </is>
      </c>
      <c r="G220" s="57">
        <f>IFERROR(INDEX(Produits!$C$2:$C$3000,MATCH(F220,Produits!$A$2:$A$3000,0)),"")</f>
        <v/>
      </c>
      <c r="H220" s="60" t="n">
        <v>122</v>
      </c>
      <c r="I220" s="59">
        <f>IFERROR(INDEX(Produits!$G$2:$G$3000,MATCH(F220,Produits!$A$2:$A$3000,0)),"")</f>
        <v/>
      </c>
      <c r="J220" s="62" t="n">
        <v>0.06</v>
      </c>
      <c r="K220" s="59">
        <f>IF(OR(H220="",I220=""),"",ROUND(H220*I220*(1-J220),2))</f>
        <v/>
      </c>
      <c r="L220" s="58" t="n">
        <v>46125</v>
      </c>
      <c r="M220" s="58" t="n">
        <v>46128</v>
      </c>
      <c r="N220" s="60">
        <f>IF(M220="","",MAX(0,M220-L220))</f>
        <v/>
      </c>
      <c r="O220" s="57" t="inlineStr">
        <is>
          <t>Facturée</t>
        </is>
      </c>
      <c r="P220" s="57" t="inlineStr">
        <is>
          <t>U004</t>
        </is>
      </c>
    </row>
    <row r="221" ht="15" customHeight="1" s="34">
      <c r="A221" s="57" t="inlineStr">
        <is>
          <t>CMD-2026-0220</t>
        </is>
      </c>
      <c r="B221" s="57" t="inlineStr">
        <is>
          <t>PO-LOR-90433</t>
        </is>
      </c>
      <c r="C221" s="58" t="n">
        <v>46118</v>
      </c>
      <c r="D221" s="57" t="inlineStr">
        <is>
          <t>E027</t>
        </is>
      </c>
      <c r="E221" s="57">
        <f>IFERROR(INDEX(Entreprises!$B$2:$B$3000,MATCH(D221,Entreprises!$A$2:$A$3000,0)),"")</f>
        <v/>
      </c>
      <c r="F221" s="57" t="inlineStr">
        <is>
          <t>P005</t>
        </is>
      </c>
      <c r="G221" s="57">
        <f>IFERROR(INDEX(Produits!$C$2:$C$3000,MATCH(F221,Produits!$A$2:$A$3000,0)),"")</f>
        <v/>
      </c>
      <c r="H221" s="60" t="n">
        <v>56</v>
      </c>
      <c r="I221" s="59">
        <f>IFERROR(INDEX(Produits!$G$2:$G$3000,MATCH(F221,Produits!$A$2:$A$3000,0)),"")</f>
        <v/>
      </c>
      <c r="J221" s="62" t="n">
        <v>0.06</v>
      </c>
      <c r="K221" s="59">
        <f>IF(OR(H221="",I221=""),"",ROUND(H221*I221*(1-J221),2))</f>
        <v/>
      </c>
      <c r="L221" s="58" t="n">
        <v>46132</v>
      </c>
      <c r="M221" s="58" t="n">
        <v>46132</v>
      </c>
      <c r="N221" s="60">
        <f>IF(M221="","",MAX(0,M221-L221))</f>
        <v/>
      </c>
      <c r="O221" s="57" t="inlineStr">
        <is>
          <t>Facturée</t>
        </is>
      </c>
      <c r="P221" s="57" t="inlineStr">
        <is>
          <t>U007</t>
        </is>
      </c>
    </row>
    <row r="222" ht="15" customHeight="1" s="34">
      <c r="A222" s="57" t="inlineStr">
        <is>
          <t>CMD-2026-0221</t>
        </is>
      </c>
      <c r="B222" s="57" t="inlineStr">
        <is>
          <t>PO-LAU-69208</t>
        </is>
      </c>
      <c r="C222" s="58" t="n">
        <v>46122</v>
      </c>
      <c r="D222" s="57" t="inlineStr">
        <is>
          <t>E009</t>
        </is>
      </c>
      <c r="E222" s="57">
        <f>IFERROR(INDEX(Entreprises!$B$2:$B$3000,MATCH(D222,Entreprises!$A$2:$A$3000,0)),"")</f>
        <v/>
      </c>
      <c r="F222" s="57" t="inlineStr">
        <is>
          <t>P007</t>
        </is>
      </c>
      <c r="G222" s="57">
        <f>IFERROR(INDEX(Produits!$C$2:$C$3000,MATCH(F222,Produits!$A$2:$A$3000,0)),"")</f>
        <v/>
      </c>
      <c r="H222" s="60" t="n">
        <v>24</v>
      </c>
      <c r="I222" s="59">
        <f>IFERROR(INDEX(Produits!$G$2:$G$3000,MATCH(F222,Produits!$A$2:$A$3000,0)),"")</f>
        <v/>
      </c>
      <c r="J222" s="62" t="n">
        <v>0.03</v>
      </c>
      <c r="K222" s="59">
        <f>IF(OR(H222="",I222=""),"",ROUND(H222*I222*(1-J222),2))</f>
        <v/>
      </c>
      <c r="L222" s="58" t="n">
        <v>46136</v>
      </c>
      <c r="M222" s="58" t="n">
        <v>46136</v>
      </c>
      <c r="N222" s="60">
        <f>IF(M222="","",MAX(0,M222-L222))</f>
        <v/>
      </c>
      <c r="O222" s="57" t="inlineStr">
        <is>
          <t>Facturée</t>
        </is>
      </c>
      <c r="P222" s="57" t="inlineStr">
        <is>
          <t>U003</t>
        </is>
      </c>
    </row>
    <row r="223" ht="15" customHeight="1" s="34">
      <c r="A223" s="57" t="inlineStr">
        <is>
          <t>CMD-2026-0222</t>
        </is>
      </c>
      <c r="B223" s="57" t="inlineStr">
        <is>
          <t>PO-REM-71405</t>
        </is>
      </c>
      <c r="C223" s="58" t="n">
        <v>46122</v>
      </c>
      <c r="D223" s="57" t="inlineStr">
        <is>
          <t>E017</t>
        </is>
      </c>
      <c r="E223" s="57">
        <f>IFERROR(INDEX(Entreprises!$B$2:$B$3000,MATCH(D223,Entreprises!$A$2:$A$3000,0)),"")</f>
        <v/>
      </c>
      <c r="F223" s="57" t="inlineStr">
        <is>
          <t>P006</t>
        </is>
      </c>
      <c r="G223" s="57">
        <f>IFERROR(INDEX(Produits!$C$2:$C$3000,MATCH(F223,Produits!$A$2:$A$3000,0)),"")</f>
        <v/>
      </c>
      <c r="H223" s="60" t="n">
        <v>24</v>
      </c>
      <c r="I223" s="59">
        <f>IFERROR(INDEX(Produits!$G$2:$G$3000,MATCH(F223,Produits!$A$2:$A$3000,0)),"")</f>
        <v/>
      </c>
      <c r="J223" s="62" t="n">
        <v>0.06</v>
      </c>
      <c r="K223" s="59">
        <f>IF(OR(H223="",I223=""),"",ROUND(H223*I223*(1-J223),2))</f>
        <v/>
      </c>
      <c r="L223" s="58" t="n">
        <v>46136</v>
      </c>
      <c r="M223" s="58" t="n">
        <v>46139</v>
      </c>
      <c r="N223" s="60">
        <f>IF(M223="","",MAX(0,M223-L223))</f>
        <v/>
      </c>
      <c r="O223" s="57" t="inlineStr">
        <is>
          <t>Facturée</t>
        </is>
      </c>
      <c r="P223" s="57" t="inlineStr">
        <is>
          <t>U005</t>
        </is>
      </c>
    </row>
    <row r="224" ht="15" customHeight="1" s="34">
      <c r="A224" s="57" t="inlineStr">
        <is>
          <t>CMD-2026-0223</t>
        </is>
      </c>
      <c r="B224" s="57" t="inlineStr">
        <is>
          <t>PO-BIO-17574</t>
        </is>
      </c>
      <c r="C224" s="58" t="n">
        <v>46125</v>
      </c>
      <c r="D224" s="57" t="inlineStr">
        <is>
          <t>E012</t>
        </is>
      </c>
      <c r="E224" s="57">
        <f>IFERROR(INDEX(Entreprises!$B$2:$B$3000,MATCH(D224,Entreprises!$A$2:$A$3000,0)),"")</f>
        <v/>
      </c>
      <c r="F224" s="57" t="inlineStr">
        <is>
          <t>P004</t>
        </is>
      </c>
      <c r="G224" s="57">
        <f>IFERROR(INDEX(Produits!$C$2:$C$3000,MATCH(F224,Produits!$A$2:$A$3000,0)),"")</f>
        <v/>
      </c>
      <c r="H224" s="60" t="n">
        <v>94</v>
      </c>
      <c r="I224" s="59">
        <f>IFERROR(INDEX(Produits!$G$2:$G$3000,MATCH(F224,Produits!$A$2:$A$3000,0)),"")</f>
        <v/>
      </c>
      <c r="J224" s="62" t="n">
        <v>0.08</v>
      </c>
      <c r="K224" s="59">
        <f>IF(OR(H224="",I224=""),"",ROUND(H224*I224*(1-J224),2))</f>
        <v/>
      </c>
      <c r="L224" s="58" t="n">
        <v>46139</v>
      </c>
      <c r="M224" s="58" t="n">
        <v>46139</v>
      </c>
      <c r="N224" s="60">
        <f>IF(M224="","",MAX(0,M224-L224))</f>
        <v/>
      </c>
      <c r="O224" s="57" t="inlineStr">
        <is>
          <t>Facturée</t>
        </is>
      </c>
      <c r="P224" s="57" t="inlineStr">
        <is>
          <t>U004</t>
        </is>
      </c>
    </row>
    <row r="225" ht="15" customHeight="1" s="34">
      <c r="A225" s="57" t="inlineStr">
        <is>
          <t>CMD-2026-0224</t>
        </is>
      </c>
      <c r="B225" s="57" t="inlineStr">
        <is>
          <t>PO-SAN-96749</t>
        </is>
      </c>
      <c r="C225" s="58" t="n">
        <v>46125</v>
      </c>
      <c r="D225" s="57" t="inlineStr">
        <is>
          <t>E022</t>
        </is>
      </c>
      <c r="E225" s="57">
        <f>IFERROR(INDEX(Entreprises!$B$2:$B$3000,MATCH(D225,Entreprises!$A$2:$A$3000,0)),"")</f>
        <v/>
      </c>
      <c r="F225" s="57" t="inlineStr">
        <is>
          <t>P002</t>
        </is>
      </c>
      <c r="G225" s="57">
        <f>IFERROR(INDEX(Produits!$C$2:$C$3000,MATCH(F225,Produits!$A$2:$A$3000,0)),"")</f>
        <v/>
      </c>
      <c r="H225" s="60" t="n">
        <v>680</v>
      </c>
      <c r="I225" s="59">
        <f>IFERROR(INDEX(Produits!$G$2:$G$3000,MATCH(F225,Produits!$A$2:$A$3000,0)),"")</f>
        <v/>
      </c>
      <c r="J225" s="62" t="n">
        <v>0.06</v>
      </c>
      <c r="K225" s="59">
        <f>IF(OR(H225="",I225=""),"",ROUND(H225*I225*(1-J225),2))</f>
        <v/>
      </c>
      <c r="L225" s="58" t="n">
        <v>46139</v>
      </c>
      <c r="M225" s="58" t="n">
        <v>46139</v>
      </c>
      <c r="N225" s="60">
        <f>IF(M225="","",MAX(0,M225-L225))</f>
        <v/>
      </c>
      <c r="O225" s="57" t="inlineStr">
        <is>
          <t>Facturée</t>
        </is>
      </c>
      <c r="P225" s="57" t="inlineStr">
        <is>
          <t>U006</t>
        </is>
      </c>
    </row>
    <row r="226" ht="15" customHeight="1" s="34">
      <c r="A226" s="57" t="inlineStr">
        <is>
          <t>CMD-2026-0225</t>
        </is>
      </c>
      <c r="B226" s="57" t="inlineStr">
        <is>
          <t>PO-KRO-25256</t>
        </is>
      </c>
      <c r="C226" s="58" t="n">
        <v>46126</v>
      </c>
      <c r="D226" s="57" t="inlineStr">
        <is>
          <t>E011</t>
        </is>
      </c>
      <c r="E226" s="57">
        <f>IFERROR(INDEX(Entreprises!$B$2:$B$3000,MATCH(D226,Entreprises!$A$2:$A$3000,0)),"")</f>
        <v/>
      </c>
      <c r="F226" s="57" t="inlineStr">
        <is>
          <t>P007</t>
        </is>
      </c>
      <c r="G226" s="57">
        <f>IFERROR(INDEX(Produits!$C$2:$C$3000,MATCH(F226,Produits!$A$2:$A$3000,0)),"")</f>
        <v/>
      </c>
      <c r="H226" s="60" t="n">
        <v>26</v>
      </c>
      <c r="I226" s="59">
        <f>IFERROR(INDEX(Produits!$G$2:$G$3000,MATCH(F226,Produits!$A$2:$A$3000,0)),"")</f>
        <v/>
      </c>
      <c r="J226" s="62" t="n">
        <v>0.07000000000000001</v>
      </c>
      <c r="K226" s="59">
        <f>IF(OR(H226="",I226=""),"",ROUND(H226*I226*(1-J226),2))</f>
        <v/>
      </c>
      <c r="L226" s="58" t="n">
        <v>46140</v>
      </c>
      <c r="M226" s="58" t="n">
        <v>46139</v>
      </c>
      <c r="N226" s="60">
        <f>IF(M226="","",MAX(0,M226-L226))</f>
        <v/>
      </c>
      <c r="O226" s="57" t="inlineStr">
        <is>
          <t>Facturée</t>
        </is>
      </c>
      <c r="P226" s="57" t="inlineStr">
        <is>
          <t>U003</t>
        </is>
      </c>
    </row>
    <row r="227" ht="15" customHeight="1" s="34">
      <c r="A227" s="57" t="inlineStr">
        <is>
          <t>CMD-2026-0226</t>
        </is>
      </c>
      <c r="B227" s="57" t="inlineStr">
        <is>
          <t>PO-LES-24773</t>
        </is>
      </c>
      <c r="C227" s="58" t="n">
        <v>46128</v>
      </c>
      <c r="D227" s="57" t="inlineStr">
        <is>
          <t>E002</t>
        </is>
      </c>
      <c r="E227" s="57">
        <f>IFERROR(INDEX(Entreprises!$B$2:$B$3000,MATCH(D227,Entreprises!$A$2:$A$3000,0)),"")</f>
        <v/>
      </c>
      <c r="F227" s="57" t="inlineStr">
        <is>
          <t>P003</t>
        </is>
      </c>
      <c r="G227" s="57">
        <f>IFERROR(INDEX(Produits!$C$2:$C$3000,MATCH(F227,Produits!$A$2:$A$3000,0)),"")</f>
        <v/>
      </c>
      <c r="H227" s="60" t="n">
        <v>137</v>
      </c>
      <c r="I227" s="59">
        <f>IFERROR(INDEX(Produits!$G$2:$G$3000,MATCH(F227,Produits!$A$2:$A$3000,0)),"")</f>
        <v/>
      </c>
      <c r="J227" s="62" t="n">
        <v>0.06</v>
      </c>
      <c r="K227" s="59">
        <f>IF(OR(H227="",I227=""),"",ROUND(H227*I227*(1-J227),2))</f>
        <v/>
      </c>
      <c r="L227" s="58" t="n">
        <v>46142</v>
      </c>
      <c r="M227" s="58" t="n">
        <v>46142</v>
      </c>
      <c r="N227" s="60">
        <f>IF(M227="","",MAX(0,M227-L227))</f>
        <v/>
      </c>
      <c r="O227" s="57" t="inlineStr">
        <is>
          <t>Facturée</t>
        </is>
      </c>
      <c r="P227" s="57" t="inlineStr">
        <is>
          <t>U002</t>
        </is>
      </c>
    </row>
    <row r="228" ht="15" customHeight="1" s="34">
      <c r="A228" s="57" t="inlineStr">
        <is>
          <t>CMD-2026-0227</t>
        </is>
      </c>
      <c r="B228" s="57" t="inlineStr">
        <is>
          <t>PO-PIE-46837</t>
        </is>
      </c>
      <c r="C228" s="58" t="n">
        <v>46132</v>
      </c>
      <c r="D228" s="57" t="inlineStr">
        <is>
          <t>E019</t>
        </is>
      </c>
      <c r="E228" s="57">
        <f>IFERROR(INDEX(Entreprises!$B$2:$B$3000,MATCH(D228,Entreprises!$A$2:$A$3000,0)),"")</f>
        <v/>
      </c>
      <c r="F228" s="57" t="inlineStr">
        <is>
          <t>P001</t>
        </is>
      </c>
      <c r="G228" s="57">
        <f>IFERROR(INDEX(Produits!$C$2:$C$3000,MATCH(F228,Produits!$A$2:$A$3000,0)),"")</f>
        <v/>
      </c>
      <c r="H228" s="60" t="n">
        <v>234</v>
      </c>
      <c r="I228" s="59">
        <f>IFERROR(INDEX(Produits!$G$2:$G$3000,MATCH(F228,Produits!$A$2:$A$3000,0)),"")</f>
        <v/>
      </c>
      <c r="J228" s="62" t="n">
        <v>0.08</v>
      </c>
      <c r="K228" s="59">
        <f>IF(OR(H228="",I228=""),"",ROUND(H228*I228*(1-J228),2))</f>
        <v/>
      </c>
      <c r="L228" s="58" t="n">
        <v>46146</v>
      </c>
      <c r="M228" s="58" t="n">
        <v>46146</v>
      </c>
      <c r="N228" s="60">
        <f>IF(M228="","",MAX(0,M228-L228))</f>
        <v/>
      </c>
      <c r="O228" s="57" t="inlineStr">
        <is>
          <t>Facturée</t>
        </is>
      </c>
      <c r="P228" s="57" t="inlineStr">
        <is>
          <t>U005</t>
        </is>
      </c>
    </row>
    <row r="229" ht="15" customHeight="1" s="34">
      <c r="A229" s="57" t="inlineStr">
        <is>
          <t>CMD-2026-0228</t>
        </is>
      </c>
      <c r="B229" s="57" t="inlineStr">
        <is>
          <t>PO-NEX-63880</t>
        </is>
      </c>
      <c r="C229" s="58" t="n">
        <v>46135</v>
      </c>
      <c r="D229" s="57" t="inlineStr">
        <is>
          <t>E007</t>
        </is>
      </c>
      <c r="E229" s="57">
        <f>IFERROR(INDEX(Entreprises!$B$2:$B$3000,MATCH(D229,Entreprises!$A$2:$A$3000,0)),"")</f>
        <v/>
      </c>
      <c r="F229" s="57" t="inlineStr">
        <is>
          <t>P007</t>
        </is>
      </c>
      <c r="G229" s="57">
        <f>IFERROR(INDEX(Produits!$C$2:$C$3000,MATCH(F229,Produits!$A$2:$A$3000,0)),"")</f>
        <v/>
      </c>
      <c r="H229" s="60" t="n">
        <v>23</v>
      </c>
      <c r="I229" s="59">
        <f>IFERROR(INDEX(Produits!$G$2:$G$3000,MATCH(F229,Produits!$A$2:$A$3000,0)),"")</f>
        <v/>
      </c>
      <c r="J229" s="62" t="n">
        <v>0.08</v>
      </c>
      <c r="K229" s="59">
        <f>IF(OR(H229="",I229=""),"",ROUND(H229*I229*(1-J229),2))</f>
        <v/>
      </c>
      <c r="L229" s="58" t="n">
        <v>46149</v>
      </c>
      <c r="M229" s="58" t="n">
        <v>46148</v>
      </c>
      <c r="N229" s="60">
        <f>IF(M229="","",MAX(0,M229-L229))</f>
        <v/>
      </c>
      <c r="O229" s="57" t="inlineStr">
        <is>
          <t>Facturée</t>
        </is>
      </c>
      <c r="P229" s="57" t="inlineStr">
        <is>
          <t>U002</t>
        </is>
      </c>
    </row>
    <row r="230" ht="15" customHeight="1" s="34">
      <c r="A230" s="57" t="inlineStr">
        <is>
          <t>CMD-2026-0229</t>
        </is>
      </c>
      <c r="B230" s="57" t="inlineStr">
        <is>
          <t>PO-IPS-57538</t>
        </is>
      </c>
      <c r="C230" s="58" t="n">
        <v>46139</v>
      </c>
      <c r="D230" s="57" t="inlineStr">
        <is>
          <t>E023</t>
        </is>
      </c>
      <c r="E230" s="57">
        <f>IFERROR(INDEX(Entreprises!$B$2:$B$3000,MATCH(D230,Entreprises!$A$2:$A$3000,0)),"")</f>
        <v/>
      </c>
      <c r="F230" s="57" t="inlineStr">
        <is>
          <t>P001</t>
        </is>
      </c>
      <c r="G230" s="57">
        <f>IFERROR(INDEX(Produits!$C$2:$C$3000,MATCH(F230,Produits!$A$2:$A$3000,0)),"")</f>
        <v/>
      </c>
      <c r="H230" s="60" t="n">
        <v>126</v>
      </c>
      <c r="I230" s="59">
        <f>IFERROR(INDEX(Produits!$G$2:$G$3000,MATCH(F230,Produits!$A$2:$A$3000,0)),"")</f>
        <v/>
      </c>
      <c r="J230" s="62" t="n">
        <v>0.06</v>
      </c>
      <c r="K230" s="59">
        <f>IF(OR(H230="",I230=""),"",ROUND(H230*I230*(1-J230),2))</f>
        <v/>
      </c>
      <c r="L230" s="58" t="n">
        <v>46153</v>
      </c>
      <c r="M230" s="58" t="n">
        <v>46153</v>
      </c>
      <c r="N230" s="60">
        <f>IF(M230="","",MAX(0,M230-L230))</f>
        <v/>
      </c>
      <c r="O230" s="57" t="inlineStr">
        <is>
          <t>Facturée</t>
        </is>
      </c>
      <c r="P230" s="57" t="inlineStr">
        <is>
          <t>U006</t>
        </is>
      </c>
    </row>
    <row r="231" ht="15" customHeight="1" s="34">
      <c r="A231" s="57" t="inlineStr">
        <is>
          <t>CMD-2026-0230</t>
        </is>
      </c>
      <c r="B231" s="57" t="inlineStr">
        <is>
          <t>PO-PER-30183</t>
        </is>
      </c>
      <c r="C231" s="58" t="n">
        <v>46142</v>
      </c>
      <c r="D231" s="57" t="inlineStr">
        <is>
          <t>E025</t>
        </is>
      </c>
      <c r="E231" s="57">
        <f>IFERROR(INDEX(Entreprises!$B$2:$B$3000,MATCH(D231,Entreprises!$A$2:$A$3000,0)),"")</f>
        <v/>
      </c>
      <c r="F231" s="57" t="inlineStr">
        <is>
          <t>P005</t>
        </is>
      </c>
      <c r="G231" s="57">
        <f>IFERROR(INDEX(Produits!$C$2:$C$3000,MATCH(F231,Produits!$A$2:$A$3000,0)),"")</f>
        <v/>
      </c>
      <c r="H231" s="60" t="n">
        <v>72</v>
      </c>
      <c r="I231" s="59">
        <f>IFERROR(INDEX(Produits!$G$2:$G$3000,MATCH(F231,Produits!$A$2:$A$3000,0)),"")</f>
        <v/>
      </c>
      <c r="J231" s="62" t="n">
        <v>0.06</v>
      </c>
      <c r="K231" s="59">
        <f>IF(OR(H231="",I231=""),"",ROUND(H231*I231*(1-J231),2))</f>
        <v/>
      </c>
      <c r="L231" s="58" t="n">
        <v>46156</v>
      </c>
      <c r="M231" s="58" t="n">
        <v>46154</v>
      </c>
      <c r="N231" s="60">
        <f>IF(M231="","",MAX(0,M231-L231))</f>
        <v/>
      </c>
      <c r="O231" s="57" t="inlineStr">
        <is>
          <t>Facturée</t>
        </is>
      </c>
      <c r="P231" s="57" t="inlineStr">
        <is>
          <t>U007</t>
        </is>
      </c>
    </row>
    <row r="232" ht="15" customHeight="1" s="34">
      <c r="A232" s="57" t="inlineStr">
        <is>
          <t>CMD-2026-0231</t>
        </is>
      </c>
      <c r="B232" s="57" t="inlineStr">
        <is>
          <t>PO-INT-15317</t>
        </is>
      </c>
      <c r="C232" s="58" t="n">
        <v>46143</v>
      </c>
      <c r="D232" s="57" t="inlineStr">
        <is>
          <t>E004</t>
        </is>
      </c>
      <c r="E232" s="57">
        <f>IFERROR(INDEX(Entreprises!$B$2:$B$3000,MATCH(D232,Entreprises!$A$2:$A$3000,0)),"")</f>
        <v/>
      </c>
      <c r="F232" s="57" t="inlineStr">
        <is>
          <t>P008</t>
        </is>
      </c>
      <c r="G232" s="57">
        <f>IFERROR(INDEX(Produits!$C$2:$C$3000,MATCH(F232,Produits!$A$2:$A$3000,0)),"")</f>
        <v/>
      </c>
      <c r="H232" s="60" t="n">
        <v>40</v>
      </c>
      <c r="I232" s="59">
        <f>IFERROR(INDEX(Produits!$G$2:$G$3000,MATCH(F232,Produits!$A$2:$A$3000,0)),"")</f>
        <v/>
      </c>
      <c r="J232" s="62" t="n">
        <v>0.04</v>
      </c>
      <c r="K232" s="59">
        <f>IF(OR(H232="",I232=""),"",ROUND(H232*I232*(1-J232),2))</f>
        <v/>
      </c>
      <c r="L232" s="58" t="n">
        <v>46157</v>
      </c>
      <c r="M232" s="58" t="n">
        <v>46160</v>
      </c>
      <c r="N232" s="60">
        <f>IF(M232="","",MAX(0,M232-L232))</f>
        <v/>
      </c>
      <c r="O232" s="57" t="inlineStr">
        <is>
          <t>Facturée</t>
        </is>
      </c>
      <c r="P232" s="57" t="inlineStr">
        <is>
          <t>U002</t>
        </is>
      </c>
    </row>
    <row r="233" ht="15" customHeight="1" s="34">
      <c r="A233" s="57" t="inlineStr">
        <is>
          <t>CMD-2026-0232</t>
        </is>
      </c>
      <c r="B233" s="57" t="inlineStr">
        <is>
          <t>PO-DAN-87762</t>
        </is>
      </c>
      <c r="C233" s="58" t="n">
        <v>46146</v>
      </c>
      <c r="D233" s="57" t="inlineStr">
        <is>
          <t>E026</t>
        </is>
      </c>
      <c r="E233" s="57">
        <f>IFERROR(INDEX(Entreprises!$B$2:$B$3000,MATCH(D233,Entreprises!$A$2:$A$3000,0)),"")</f>
        <v/>
      </c>
      <c r="F233" s="57" t="inlineStr">
        <is>
          <t>P007</t>
        </is>
      </c>
      <c r="G233" s="57">
        <f>IFERROR(INDEX(Produits!$C$2:$C$3000,MATCH(F233,Produits!$A$2:$A$3000,0)),"")</f>
        <v/>
      </c>
      <c r="H233" s="60" t="n">
        <v>115</v>
      </c>
      <c r="I233" s="59">
        <f>IFERROR(INDEX(Produits!$G$2:$G$3000,MATCH(F233,Produits!$A$2:$A$3000,0)),"")</f>
        <v/>
      </c>
      <c r="J233" s="62" t="n">
        <v>0.07000000000000001</v>
      </c>
      <c r="K233" s="59">
        <f>IF(OR(H233="",I233=""),"",ROUND(H233*I233*(1-J233),2))</f>
        <v/>
      </c>
      <c r="L233" s="58" t="n">
        <v>46160</v>
      </c>
      <c r="M233" s="58" t="n">
        <v>46162</v>
      </c>
      <c r="N233" s="60">
        <f>IF(M233="","",MAX(0,M233-L233))</f>
        <v/>
      </c>
      <c r="O233" s="57" t="inlineStr">
        <is>
          <t>Facturée</t>
        </is>
      </c>
      <c r="P233" s="57" t="inlineStr">
        <is>
          <t>U007</t>
        </is>
      </c>
    </row>
    <row r="234" ht="15" customHeight="1" s="34">
      <c r="A234" s="57" t="inlineStr">
        <is>
          <t>CMD-2026-0233</t>
        </is>
      </c>
      <c r="B234" s="57" t="inlineStr">
        <is>
          <t>PO-MOE-27186</t>
        </is>
      </c>
      <c r="C234" s="58" t="n">
        <v>46147</v>
      </c>
      <c r="D234" s="57" t="inlineStr">
        <is>
          <t>E008</t>
        </is>
      </c>
      <c r="E234" s="57">
        <f>IFERROR(INDEX(Entreprises!$B$2:$B$3000,MATCH(D234,Entreprises!$A$2:$A$3000,0)),"")</f>
        <v/>
      </c>
      <c r="F234" s="57" t="inlineStr">
        <is>
          <t>P005</t>
        </is>
      </c>
      <c r="G234" s="57">
        <f>IFERROR(INDEX(Produits!$C$2:$C$3000,MATCH(F234,Produits!$A$2:$A$3000,0)),"")</f>
        <v/>
      </c>
      <c r="H234" s="60" t="n">
        <v>39</v>
      </c>
      <c r="I234" s="59">
        <f>IFERROR(INDEX(Produits!$G$2:$G$3000,MATCH(F234,Produits!$A$2:$A$3000,0)),"")</f>
        <v/>
      </c>
      <c r="J234" s="62" t="n">
        <v>0.07000000000000001</v>
      </c>
      <c r="K234" s="59">
        <f>IF(OR(H234="",I234=""),"",ROUND(H234*I234*(1-J234),2))</f>
        <v/>
      </c>
      <c r="L234" s="58" t="n">
        <v>46161</v>
      </c>
      <c r="M234" s="58" t="n">
        <v>46163</v>
      </c>
      <c r="N234" s="60">
        <f>IF(M234="","",MAX(0,M234-L234))</f>
        <v/>
      </c>
      <c r="O234" s="57" t="inlineStr">
        <is>
          <t>Facturée</t>
        </is>
      </c>
      <c r="P234" s="57" t="inlineStr">
        <is>
          <t>U003</t>
        </is>
      </c>
    </row>
    <row r="235" ht="15" customHeight="1" s="34">
      <c r="A235" s="57" t="inlineStr">
        <is>
          <t>CMD-2026-0234</t>
        </is>
      </c>
      <c r="B235" s="57" t="inlineStr">
        <is>
          <t>PO-LEG-97349</t>
        </is>
      </c>
      <c r="C235" s="58" t="n">
        <v>46153</v>
      </c>
      <c r="D235" s="57" t="inlineStr">
        <is>
          <t>E021</t>
        </is>
      </c>
      <c r="E235" s="57">
        <f>IFERROR(INDEX(Entreprises!$B$2:$B$3000,MATCH(D235,Entreprises!$A$2:$A$3000,0)),"")</f>
        <v/>
      </c>
      <c r="F235" s="57" t="inlineStr">
        <is>
          <t>P007</t>
        </is>
      </c>
      <c r="G235" s="57">
        <f>IFERROR(INDEX(Produits!$C$2:$C$3000,MATCH(F235,Produits!$A$2:$A$3000,0)),"")</f>
        <v/>
      </c>
      <c r="H235" s="60" t="n">
        <v>53</v>
      </c>
      <c r="I235" s="59">
        <f>IFERROR(INDEX(Produits!$G$2:$G$3000,MATCH(F235,Produits!$A$2:$A$3000,0)),"")</f>
        <v/>
      </c>
      <c r="J235" s="62" t="n">
        <v>0.08</v>
      </c>
      <c r="K235" s="59">
        <f>IF(OR(H235="",I235=""),"",ROUND(H235*I235*(1-J235),2))</f>
        <v/>
      </c>
      <c r="L235" s="58" t="n">
        <v>46167</v>
      </c>
      <c r="M235" s="58" t="n">
        <v>46167</v>
      </c>
      <c r="N235" s="60">
        <f>IF(M235="","",MAX(0,M235-L235))</f>
        <v/>
      </c>
      <c r="O235" s="57" t="inlineStr">
        <is>
          <t>Facturée</t>
        </is>
      </c>
      <c r="P235" s="57" t="inlineStr">
        <is>
          <t>U005</t>
        </is>
      </c>
    </row>
    <row r="236" ht="15" customHeight="1" s="34">
      <c r="A236" s="57" t="inlineStr">
        <is>
          <t>CMD-2026-0235</t>
        </is>
      </c>
      <c r="B236" s="57" t="inlineStr">
        <is>
          <t>PO-BON-26143</t>
        </is>
      </c>
      <c r="C236" s="58" t="n">
        <v>46155</v>
      </c>
      <c r="D236" s="57" t="inlineStr">
        <is>
          <t>E001</t>
        </is>
      </c>
      <c r="E236" s="57">
        <f>IFERROR(INDEX(Entreprises!$B$2:$B$3000,MATCH(D236,Entreprises!$A$2:$A$3000,0)),"")</f>
        <v/>
      </c>
      <c r="F236" s="57" t="inlineStr">
        <is>
          <t>P003</t>
        </is>
      </c>
      <c r="G236" s="57">
        <f>IFERROR(INDEX(Produits!$C$2:$C$3000,MATCH(F236,Produits!$A$2:$A$3000,0)),"")</f>
        <v/>
      </c>
      <c r="H236" s="60" t="n">
        <v>162</v>
      </c>
      <c r="I236" s="59">
        <f>IFERROR(INDEX(Produits!$G$2:$G$3000,MATCH(F236,Produits!$A$2:$A$3000,0)),"")</f>
        <v/>
      </c>
      <c r="J236" s="62" t="n">
        <v>0.05</v>
      </c>
      <c r="K236" s="59">
        <f>IF(OR(H236="",I236=""),"",ROUND(H236*I236*(1-J236),2))</f>
        <v/>
      </c>
      <c r="L236" s="58" t="n">
        <v>46169</v>
      </c>
      <c r="M236" s="58" t="n">
        <v>46169</v>
      </c>
      <c r="N236" s="60">
        <f>IF(M236="","",MAX(0,M236-L236))</f>
        <v/>
      </c>
      <c r="O236" s="57" t="inlineStr">
        <is>
          <t>Facturée</t>
        </is>
      </c>
      <c r="P236" s="57" t="inlineStr">
        <is>
          <t>U002</t>
        </is>
      </c>
    </row>
    <row r="237" ht="15" customHeight="1" s="34">
      <c r="A237" s="57" t="inlineStr">
        <is>
          <t>CMD-2026-0236</t>
        </is>
      </c>
      <c r="B237" s="57" t="inlineStr">
        <is>
          <t>PO-MAI-17941</t>
        </is>
      </c>
      <c r="C237" s="58" t="n">
        <v>46156</v>
      </c>
      <c r="D237" s="57" t="inlineStr">
        <is>
          <t>E018</t>
        </is>
      </c>
      <c r="E237" s="57">
        <f>IFERROR(INDEX(Entreprises!$B$2:$B$3000,MATCH(D237,Entreprises!$A$2:$A$3000,0)),"")</f>
        <v/>
      </c>
      <c r="F237" s="57" t="inlineStr">
        <is>
          <t>P006</t>
        </is>
      </c>
      <c r="G237" s="57">
        <f>IFERROR(INDEX(Produits!$C$2:$C$3000,MATCH(F237,Produits!$A$2:$A$3000,0)),"")</f>
        <v/>
      </c>
      <c r="H237" s="60" t="n">
        <v>5</v>
      </c>
      <c r="I237" s="59">
        <f>IFERROR(INDEX(Produits!$G$2:$G$3000,MATCH(F237,Produits!$A$2:$A$3000,0)),"")</f>
        <v/>
      </c>
      <c r="J237" s="62" t="n">
        <v>0.01</v>
      </c>
      <c r="K237" s="59">
        <f>IF(OR(H237="",I237=""),"",ROUND(H237*I237*(1-J237),2))</f>
        <v/>
      </c>
      <c r="L237" s="58" t="n">
        <v>46170</v>
      </c>
      <c r="M237" s="58" t="n">
        <v>46170</v>
      </c>
      <c r="N237" s="60">
        <f>IF(M237="","",MAX(0,M237-L237))</f>
        <v/>
      </c>
      <c r="O237" s="57" t="inlineStr">
        <is>
          <t>Facturée</t>
        </is>
      </c>
      <c r="P237" s="57" t="inlineStr">
        <is>
          <t>U005</t>
        </is>
      </c>
    </row>
    <row r="238" ht="15" customHeight="1" s="34">
      <c r="A238" s="57" t="inlineStr">
        <is>
          <t>CMD-2026-0237</t>
        </is>
      </c>
      <c r="B238" s="57" t="inlineStr">
        <is>
          <t>PO-BOI-47256</t>
        </is>
      </c>
      <c r="C238" s="58" t="n">
        <v>46163</v>
      </c>
      <c r="D238" s="57" t="inlineStr">
        <is>
          <t>E013</t>
        </is>
      </c>
      <c r="E238" s="57">
        <f>IFERROR(INDEX(Entreprises!$B$2:$B$3000,MATCH(D238,Entreprises!$A$2:$A$3000,0)),"")</f>
        <v/>
      </c>
      <c r="F238" s="57" t="inlineStr">
        <is>
          <t>P001</t>
        </is>
      </c>
      <c r="G238" s="57">
        <f>IFERROR(INDEX(Produits!$C$2:$C$3000,MATCH(F238,Produits!$A$2:$A$3000,0)),"")</f>
        <v/>
      </c>
      <c r="H238" s="60" t="n">
        <v>79</v>
      </c>
      <c r="I238" s="59">
        <f>IFERROR(INDEX(Produits!$G$2:$G$3000,MATCH(F238,Produits!$A$2:$A$3000,0)),"")</f>
        <v/>
      </c>
      <c r="J238" s="62" t="n">
        <v>0.03</v>
      </c>
      <c r="K238" s="59">
        <f>IF(OR(H238="",I238=""),"",ROUND(H238*I238*(1-J238),2))</f>
        <v/>
      </c>
      <c r="L238" s="58" t="n">
        <v>46177</v>
      </c>
      <c r="M238" s="58" t="n">
        <v>46177</v>
      </c>
      <c r="N238" s="60">
        <f>IF(M238="","",MAX(0,M238-L238))</f>
        <v/>
      </c>
      <c r="O238" s="57" t="inlineStr">
        <is>
          <t>Facturée</t>
        </is>
      </c>
      <c r="P238" s="57" t="inlineStr">
        <is>
          <t>U004</t>
        </is>
      </c>
    </row>
    <row r="239" ht="15" customHeight="1" s="34">
      <c r="A239" s="57" t="inlineStr">
        <is>
          <t>CMD-2026-0238</t>
        </is>
      </c>
      <c r="B239" s="57" t="inlineStr">
        <is>
          <t>PO-SAV-75809</t>
        </is>
      </c>
      <c r="C239" s="58" t="n">
        <v>46163</v>
      </c>
      <c r="D239" s="57" t="inlineStr">
        <is>
          <t>E028</t>
        </is>
      </c>
      <c r="E239" s="57">
        <f>IFERROR(INDEX(Entreprises!$B$2:$B$3000,MATCH(D239,Entreprises!$A$2:$A$3000,0)),"")</f>
        <v/>
      </c>
      <c r="F239" s="57" t="inlineStr">
        <is>
          <t>P003</t>
        </is>
      </c>
      <c r="G239" s="57">
        <f>IFERROR(INDEX(Produits!$C$2:$C$3000,MATCH(F239,Produits!$A$2:$A$3000,0)),"")</f>
        <v/>
      </c>
      <c r="H239" s="60" t="n">
        <v>134</v>
      </c>
      <c r="I239" s="59">
        <f>IFERROR(INDEX(Produits!$G$2:$G$3000,MATCH(F239,Produits!$A$2:$A$3000,0)),"")</f>
        <v/>
      </c>
      <c r="J239" s="62" t="n">
        <v>0.05</v>
      </c>
      <c r="K239" s="59">
        <f>IF(OR(H239="",I239=""),"",ROUND(H239*I239*(1-J239),2))</f>
        <v/>
      </c>
      <c r="L239" s="58" t="n">
        <v>46177</v>
      </c>
      <c r="M239" s="58" t="n">
        <v>46176</v>
      </c>
      <c r="N239" s="60">
        <f>IF(M239="","",MAX(0,M239-L239))</f>
        <v/>
      </c>
      <c r="O239" s="57" t="inlineStr">
        <is>
          <t>Facturée</t>
        </is>
      </c>
      <c r="P239" s="57" t="inlineStr">
        <is>
          <t>U007</t>
        </is>
      </c>
    </row>
    <row r="240" ht="15" customHeight="1" s="34">
      <c r="A240" s="57" t="inlineStr">
        <is>
          <t>CMD-2026-0239</t>
        </is>
      </c>
      <c r="B240" s="57" t="inlineStr">
        <is>
          <t>PO-GUE-32368</t>
        </is>
      </c>
      <c r="C240" s="58" t="n">
        <v>46167</v>
      </c>
      <c r="D240" s="57" t="inlineStr">
        <is>
          <t>E003</t>
        </is>
      </c>
      <c r="E240" s="57">
        <f>IFERROR(INDEX(Entreprises!$B$2:$B$3000,MATCH(D240,Entreprises!$A$2:$A$3000,0)),"")</f>
        <v/>
      </c>
      <c r="F240" s="57" t="inlineStr">
        <is>
          <t>P002</t>
        </is>
      </c>
      <c r="G240" s="57">
        <f>IFERROR(INDEX(Produits!$C$2:$C$3000,MATCH(F240,Produits!$A$2:$A$3000,0)),"")</f>
        <v/>
      </c>
      <c r="H240" s="60" t="n">
        <v>219</v>
      </c>
      <c r="I240" s="59">
        <f>IFERROR(INDEX(Produits!$G$2:$G$3000,MATCH(F240,Produits!$A$2:$A$3000,0)),"")</f>
        <v/>
      </c>
      <c r="J240" s="62" t="n">
        <v>0.04</v>
      </c>
      <c r="K240" s="59">
        <f>IF(OR(H240="",I240=""),"",ROUND(H240*I240*(1-J240),2))</f>
        <v/>
      </c>
      <c r="L240" s="58" t="n">
        <v>46181</v>
      </c>
      <c r="M240" s="58" t="n">
        <v>46181</v>
      </c>
      <c r="N240" s="60">
        <f>IF(M240="","",MAX(0,M240-L240))</f>
        <v/>
      </c>
      <c r="O240" s="57" t="inlineStr">
        <is>
          <t>Facturée</t>
        </is>
      </c>
      <c r="P240" s="57" t="inlineStr">
        <is>
          <t>U002</t>
        </is>
      </c>
    </row>
    <row r="241" ht="15" customHeight="1" s="34">
      <c r="A241" s="57" t="inlineStr">
        <is>
          <t>CMD-2026-0240</t>
        </is>
      </c>
      <c r="B241" s="57" t="inlineStr">
        <is>
          <t>PO-REM-57439</t>
        </is>
      </c>
      <c r="C241" s="58" t="n">
        <v>46167</v>
      </c>
      <c r="D241" s="57" t="inlineStr">
        <is>
          <t>E017</t>
        </is>
      </c>
      <c r="E241" s="57">
        <f>IFERROR(INDEX(Entreprises!$B$2:$B$3000,MATCH(D241,Entreprises!$A$2:$A$3000,0)),"")</f>
        <v/>
      </c>
      <c r="F241" s="57" t="inlineStr">
        <is>
          <t>P006</t>
        </is>
      </c>
      <c r="G241" s="57">
        <f>IFERROR(INDEX(Produits!$C$2:$C$3000,MATCH(F241,Produits!$A$2:$A$3000,0)),"")</f>
        <v/>
      </c>
      <c r="H241" s="60" t="n">
        <v>40</v>
      </c>
      <c r="I241" s="59">
        <f>IFERROR(INDEX(Produits!$G$2:$G$3000,MATCH(F241,Produits!$A$2:$A$3000,0)),"")</f>
        <v/>
      </c>
      <c r="J241" s="62" t="n">
        <v>0.06</v>
      </c>
      <c r="K241" s="59">
        <f>IF(OR(H241="",I241=""),"",ROUND(H241*I241*(1-J241),2))</f>
        <v/>
      </c>
      <c r="L241" s="58" t="n">
        <v>46181</v>
      </c>
      <c r="M241" s="58" t="n">
        <v>46181</v>
      </c>
      <c r="N241" s="60">
        <f>IF(M241="","",MAX(0,M241-L241))</f>
        <v/>
      </c>
      <c r="O241" s="57" t="inlineStr">
        <is>
          <t>Facturée</t>
        </is>
      </c>
      <c r="P241" s="57" t="inlineStr">
        <is>
          <t>U005</t>
        </is>
      </c>
    </row>
    <row r="242" ht="15" customHeight="1" s="34">
      <c r="A242" s="57" t="inlineStr">
        <is>
          <t>CMD-2026-0241</t>
        </is>
      </c>
      <c r="B242" s="57" t="inlineStr">
        <is>
          <t>PO-BIO-37604</t>
        </is>
      </c>
      <c r="C242" s="58" t="n">
        <v>46168</v>
      </c>
      <c r="D242" s="57" t="inlineStr">
        <is>
          <t>E012</t>
        </is>
      </c>
      <c r="E242" s="57">
        <f>IFERROR(INDEX(Entreprises!$B$2:$B$3000,MATCH(D242,Entreprises!$A$2:$A$3000,0)),"")</f>
        <v/>
      </c>
      <c r="F242" s="57" t="inlineStr">
        <is>
          <t>P004</t>
        </is>
      </c>
      <c r="G242" s="57">
        <f>IFERROR(INDEX(Produits!$C$2:$C$3000,MATCH(F242,Produits!$A$2:$A$3000,0)),"")</f>
        <v/>
      </c>
      <c r="H242" s="60" t="n">
        <v>95</v>
      </c>
      <c r="I242" s="59">
        <f>IFERROR(INDEX(Produits!$G$2:$G$3000,MATCH(F242,Produits!$A$2:$A$3000,0)),"")</f>
        <v/>
      </c>
      <c r="J242" s="62" t="n">
        <v>0.05</v>
      </c>
      <c r="K242" s="59">
        <f>IF(OR(H242="",I242=""),"",ROUND(H242*I242*(1-J242),2))</f>
        <v/>
      </c>
      <c r="L242" s="58" t="n">
        <v>46182</v>
      </c>
      <c r="M242" s="58" t="n">
        <v>46181</v>
      </c>
      <c r="N242" s="60">
        <f>IF(M242="","",MAX(0,M242-L242))</f>
        <v/>
      </c>
      <c r="O242" s="57" t="inlineStr">
        <is>
          <t>Facturée</t>
        </is>
      </c>
      <c r="P242" s="57" t="inlineStr">
        <is>
          <t>U004</t>
        </is>
      </c>
    </row>
    <row r="243" ht="15" customHeight="1" s="34">
      <c r="A243" s="57" t="inlineStr">
        <is>
          <t>CMD-2026-0242</t>
        </is>
      </c>
      <c r="B243" s="57" t="inlineStr">
        <is>
          <t>PO-SCH-74654</t>
        </is>
      </c>
      <c r="C243" s="58" t="n">
        <v>46168</v>
      </c>
      <c r="D243" s="57" t="inlineStr">
        <is>
          <t>E030</t>
        </is>
      </c>
      <c r="E243" s="57">
        <f>IFERROR(INDEX(Entreprises!$B$2:$B$3000,MATCH(D243,Entreprises!$A$2:$A$3000,0)),"")</f>
        <v/>
      </c>
      <c r="F243" s="57" t="inlineStr">
        <is>
          <t>P008</t>
        </is>
      </c>
      <c r="G243" s="57">
        <f>IFERROR(INDEX(Produits!$C$2:$C$3000,MATCH(F243,Produits!$A$2:$A$3000,0)),"")</f>
        <v/>
      </c>
      <c r="H243" s="60" t="n">
        <v>128</v>
      </c>
      <c r="I243" s="59">
        <f>IFERROR(INDEX(Produits!$G$2:$G$3000,MATCH(F243,Produits!$A$2:$A$3000,0)),"")</f>
        <v/>
      </c>
      <c r="J243" s="62" t="n">
        <v>0.07000000000000001</v>
      </c>
      <c r="K243" s="59">
        <f>IF(OR(H243="",I243=""),"",ROUND(H243*I243*(1-J243),2))</f>
        <v/>
      </c>
      <c r="L243" s="58" t="n">
        <v>46182</v>
      </c>
      <c r="M243" s="58" t="n">
        <v>46185</v>
      </c>
      <c r="N243" s="60">
        <f>IF(M243="","",MAX(0,M243-L243))</f>
        <v/>
      </c>
      <c r="O243" s="57" t="inlineStr">
        <is>
          <t>Facturée</t>
        </is>
      </c>
      <c r="P243" s="57" t="inlineStr">
        <is>
          <t>U007</t>
        </is>
      </c>
    </row>
    <row r="244" ht="15" customHeight="1" s="34">
      <c r="A244" s="57" t="inlineStr">
        <is>
          <t>CMD-2026-0243</t>
        </is>
      </c>
      <c r="B244" s="57" t="inlineStr">
        <is>
          <t>PO-SEB-82807</t>
        </is>
      </c>
      <c r="C244" s="58" t="n">
        <v>46170</v>
      </c>
      <c r="D244" s="57" t="inlineStr">
        <is>
          <t>E014</t>
        </is>
      </c>
      <c r="E244" s="57">
        <f>IFERROR(INDEX(Entreprises!$B$2:$B$3000,MATCH(D244,Entreprises!$A$2:$A$3000,0)),"")</f>
        <v/>
      </c>
      <c r="F244" s="57" t="inlineStr">
        <is>
          <t>P007</t>
        </is>
      </c>
      <c r="G244" s="57">
        <f>IFERROR(INDEX(Produits!$C$2:$C$3000,MATCH(F244,Produits!$A$2:$A$3000,0)),"")</f>
        <v/>
      </c>
      <c r="H244" s="60" t="n">
        <v>61</v>
      </c>
      <c r="I244" s="59">
        <f>IFERROR(INDEX(Produits!$G$2:$G$3000,MATCH(F244,Produits!$A$2:$A$3000,0)),"")</f>
        <v/>
      </c>
      <c r="J244" s="62" t="n">
        <v>0.08</v>
      </c>
      <c r="K244" s="59">
        <f>IF(OR(H244="",I244=""),"",ROUND(H244*I244*(1-J244),2))</f>
        <v/>
      </c>
      <c r="L244" s="58" t="n">
        <v>46184</v>
      </c>
      <c r="M244" s="58" t="n">
        <v>46184</v>
      </c>
      <c r="N244" s="60">
        <f>IF(M244="","",MAX(0,M244-L244))</f>
        <v/>
      </c>
      <c r="O244" s="57" t="inlineStr">
        <is>
          <t>Facturée</t>
        </is>
      </c>
      <c r="P244" s="57" t="inlineStr">
        <is>
          <t>U004</t>
        </is>
      </c>
    </row>
    <row r="245" ht="15" customHeight="1" s="34">
      <c r="A245" s="57" t="inlineStr">
        <is>
          <t>CMD-2026-0244</t>
        </is>
      </c>
      <c r="B245" s="57" t="inlineStr">
        <is>
          <t>PO-LAU-94669</t>
        </is>
      </c>
      <c r="C245" s="58" t="n">
        <v>46171</v>
      </c>
      <c r="D245" s="57" t="inlineStr">
        <is>
          <t>E009</t>
        </is>
      </c>
      <c r="E245" s="57">
        <f>IFERROR(INDEX(Entreprises!$B$2:$B$3000,MATCH(D245,Entreprises!$A$2:$A$3000,0)),"")</f>
        <v/>
      </c>
      <c r="F245" s="57" t="inlineStr">
        <is>
          <t>P007</t>
        </is>
      </c>
      <c r="G245" s="57">
        <f>IFERROR(INDEX(Produits!$C$2:$C$3000,MATCH(F245,Produits!$A$2:$A$3000,0)),"")</f>
        <v/>
      </c>
      <c r="H245" s="60" t="n">
        <v>22</v>
      </c>
      <c r="I245" s="59">
        <f>IFERROR(INDEX(Produits!$G$2:$G$3000,MATCH(F245,Produits!$A$2:$A$3000,0)),"")</f>
        <v/>
      </c>
      <c r="J245" s="62" t="n">
        <v>0.03</v>
      </c>
      <c r="K245" s="59">
        <f>IF(OR(H245="",I245=""),"",ROUND(H245*I245*(1-J245),2))</f>
        <v/>
      </c>
      <c r="L245" s="58" t="n">
        <v>46185</v>
      </c>
      <c r="M245" s="58" t="n">
        <v>46183</v>
      </c>
      <c r="N245" s="60">
        <f>IF(M245="","",MAX(0,M245-L245))</f>
        <v/>
      </c>
      <c r="O245" s="57" t="inlineStr">
        <is>
          <t>Facturée</t>
        </is>
      </c>
      <c r="P245" s="57" t="inlineStr">
        <is>
          <t>U003</t>
        </is>
      </c>
    </row>
    <row r="246" ht="15" customHeight="1" s="34">
      <c r="A246" s="57" t="inlineStr">
        <is>
          <t>CMD-2026-0245</t>
        </is>
      </c>
      <c r="B246" s="57" t="inlineStr">
        <is>
          <t>PO-SAN-80846</t>
        </is>
      </c>
      <c r="C246" s="58" t="n">
        <v>46171</v>
      </c>
      <c r="D246" s="57" t="inlineStr">
        <is>
          <t>E022</t>
        </is>
      </c>
      <c r="E246" s="57">
        <f>IFERROR(INDEX(Entreprises!$B$2:$B$3000,MATCH(D246,Entreprises!$A$2:$A$3000,0)),"")</f>
        <v/>
      </c>
      <c r="F246" s="57" t="inlineStr">
        <is>
          <t>P001</t>
        </is>
      </c>
      <c r="G246" s="57">
        <f>IFERROR(INDEX(Produits!$C$2:$C$3000,MATCH(F246,Produits!$A$2:$A$3000,0)),"")</f>
        <v/>
      </c>
      <c r="H246" s="60" t="n">
        <v>463</v>
      </c>
      <c r="I246" s="59">
        <f>IFERROR(INDEX(Produits!$G$2:$G$3000,MATCH(F246,Produits!$A$2:$A$3000,0)),"")</f>
        <v/>
      </c>
      <c r="J246" s="62" t="n">
        <v>0.06</v>
      </c>
      <c r="K246" s="59">
        <f>IF(OR(H246="",I246=""),"",ROUND(H246*I246*(1-J246),2))</f>
        <v/>
      </c>
      <c r="L246" s="58" t="n">
        <v>46185</v>
      </c>
      <c r="M246" s="58" t="n">
        <v>46188</v>
      </c>
      <c r="N246" s="60">
        <f>IF(M246="","",MAX(0,M246-L246))</f>
        <v/>
      </c>
      <c r="O246" s="57" t="inlineStr">
        <is>
          <t>Facturée</t>
        </is>
      </c>
      <c r="P246" s="57" t="inlineStr">
        <is>
          <t>U006</t>
        </is>
      </c>
    </row>
    <row r="247" ht="15" customHeight="1" s="34">
      <c r="A247" s="57" t="inlineStr">
        <is>
          <t>CMD-2026-0246</t>
        </is>
      </c>
      <c r="B247" s="57" t="inlineStr">
        <is>
          <t>PO-LOR-39486</t>
        </is>
      </c>
      <c r="C247" s="58" t="n">
        <v>46174</v>
      </c>
      <c r="D247" s="57" t="inlineStr">
        <is>
          <t>E027</t>
        </is>
      </c>
      <c r="E247" s="57">
        <f>IFERROR(INDEX(Entreprises!$B$2:$B$3000,MATCH(D247,Entreprises!$A$2:$A$3000,0)),"")</f>
        <v/>
      </c>
      <c r="F247" s="57" t="inlineStr">
        <is>
          <t>P008</t>
        </is>
      </c>
      <c r="G247" s="57">
        <f>IFERROR(INDEX(Produits!$C$2:$C$3000,MATCH(F247,Produits!$A$2:$A$3000,0)),"")</f>
        <v/>
      </c>
      <c r="H247" s="60" t="n">
        <v>186</v>
      </c>
      <c r="I247" s="59">
        <f>IFERROR(INDEX(Produits!$G$2:$G$3000,MATCH(F247,Produits!$A$2:$A$3000,0)),"")</f>
        <v/>
      </c>
      <c r="J247" s="62" t="n">
        <v>0.07000000000000001</v>
      </c>
      <c r="K247" s="59">
        <f>IF(OR(H247="",I247=""),"",ROUND(H247*I247*(1-J247),2))</f>
        <v/>
      </c>
      <c r="L247" s="58" t="n">
        <v>46188</v>
      </c>
      <c r="M247" s="58" t="n">
        <v>46189</v>
      </c>
      <c r="N247" s="60">
        <f>IF(M247="","",MAX(0,M247-L247))</f>
        <v/>
      </c>
      <c r="O247" s="57" t="inlineStr">
        <is>
          <t>Facturée</t>
        </is>
      </c>
      <c r="P247" s="57" t="inlineStr">
        <is>
          <t>U007</t>
        </is>
      </c>
    </row>
    <row r="248" ht="15" customHeight="1" s="34">
      <c r="A248" s="57" t="inlineStr">
        <is>
          <t>CMD-2026-0247</t>
        </is>
      </c>
      <c r="B248" s="57" t="inlineStr">
        <is>
          <t>PO-LES-91886</t>
        </is>
      </c>
      <c r="C248" s="58" t="n">
        <v>46181</v>
      </c>
      <c r="D248" s="57" t="inlineStr">
        <is>
          <t>E002</t>
        </is>
      </c>
      <c r="E248" s="57">
        <f>IFERROR(INDEX(Entreprises!$B$2:$B$3000,MATCH(D248,Entreprises!$A$2:$A$3000,0)),"")</f>
        <v/>
      </c>
      <c r="F248" s="57" t="inlineStr">
        <is>
          <t>P007</t>
        </is>
      </c>
      <c r="G248" s="57">
        <f>IFERROR(INDEX(Produits!$C$2:$C$3000,MATCH(F248,Produits!$A$2:$A$3000,0)),"")</f>
        <v/>
      </c>
      <c r="H248" s="60" t="n">
        <v>76</v>
      </c>
      <c r="I248" s="59">
        <f>IFERROR(INDEX(Produits!$G$2:$G$3000,MATCH(F248,Produits!$A$2:$A$3000,0)),"")</f>
        <v/>
      </c>
      <c r="J248" s="62" t="n">
        <v>0.07000000000000001</v>
      </c>
      <c r="K248" s="59">
        <f>IF(OR(H248="",I248=""),"",ROUND(H248*I248*(1-J248),2))</f>
        <v/>
      </c>
      <c r="L248" s="58" t="n">
        <v>46195</v>
      </c>
      <c r="M248" s="58" t="n">
        <v>46198</v>
      </c>
      <c r="N248" s="60">
        <f>IF(M248="","",MAX(0,M248-L248))</f>
        <v/>
      </c>
      <c r="O248" s="57" t="inlineStr">
        <is>
          <t>Facturée</t>
        </is>
      </c>
      <c r="P248" s="57" t="inlineStr">
        <is>
          <t>U002</t>
        </is>
      </c>
    </row>
    <row r="249" ht="15" customHeight="1" s="34">
      <c r="A249" s="57" t="inlineStr">
        <is>
          <t>CMD-2026-0248</t>
        </is>
      </c>
      <c r="B249" s="57" t="inlineStr">
        <is>
          <t>PO-NEX-19988</t>
        </is>
      </c>
      <c r="C249" s="58" t="n">
        <v>46184</v>
      </c>
      <c r="D249" s="57" t="inlineStr">
        <is>
          <t>E007</t>
        </is>
      </c>
      <c r="E249" s="57">
        <f>IFERROR(INDEX(Entreprises!$B$2:$B$3000,MATCH(D249,Entreprises!$A$2:$A$3000,0)),"")</f>
        <v/>
      </c>
      <c r="F249" s="57" t="inlineStr">
        <is>
          <t>P003</t>
        </is>
      </c>
      <c r="G249" s="57">
        <f>IFERROR(INDEX(Produits!$C$2:$C$3000,MATCH(F249,Produits!$A$2:$A$3000,0)),"")</f>
        <v/>
      </c>
      <c r="H249" s="60" t="n">
        <v>61</v>
      </c>
      <c r="I249" s="59">
        <f>IFERROR(INDEX(Produits!$G$2:$G$3000,MATCH(F249,Produits!$A$2:$A$3000,0)),"")</f>
        <v/>
      </c>
      <c r="J249" s="62" t="n">
        <v>0.07000000000000001</v>
      </c>
      <c r="K249" s="59">
        <f>IF(OR(H249="",I249=""),"",ROUND(H249*I249*(1-J249),2))</f>
        <v/>
      </c>
      <c r="L249" s="58" t="n">
        <v>46198</v>
      </c>
      <c r="M249" s="58" t="n">
        <v>46198</v>
      </c>
      <c r="N249" s="60">
        <f>IF(M249="","",MAX(0,M249-L249))</f>
        <v/>
      </c>
      <c r="O249" s="57" t="inlineStr">
        <is>
          <t>Facturée</t>
        </is>
      </c>
      <c r="P249" s="57" t="inlineStr">
        <is>
          <t>U002</t>
        </is>
      </c>
    </row>
    <row r="250" ht="15" customHeight="1" s="34">
      <c r="A250" s="57" t="inlineStr">
        <is>
          <t>CMD-2026-0249</t>
        </is>
      </c>
      <c r="B250" s="57" t="inlineStr">
        <is>
          <t>PO-IPS-74513</t>
        </is>
      </c>
      <c r="C250" s="58" t="n">
        <v>46189</v>
      </c>
      <c r="D250" s="57" t="inlineStr">
        <is>
          <t>E023</t>
        </is>
      </c>
      <c r="E250" s="57">
        <f>IFERROR(INDEX(Entreprises!$B$2:$B$3000,MATCH(D250,Entreprises!$A$2:$A$3000,0)),"")</f>
        <v/>
      </c>
      <c r="F250" s="57" t="inlineStr">
        <is>
          <t>P001</t>
        </is>
      </c>
      <c r="G250" s="57">
        <f>IFERROR(INDEX(Produits!$C$2:$C$3000,MATCH(F250,Produits!$A$2:$A$3000,0)),"")</f>
        <v/>
      </c>
      <c r="H250" s="60" t="n">
        <v>146</v>
      </c>
      <c r="I250" s="59">
        <f>IFERROR(INDEX(Produits!$G$2:$G$3000,MATCH(F250,Produits!$A$2:$A$3000,0)),"")</f>
        <v/>
      </c>
      <c r="J250" s="62" t="n">
        <v>0.07000000000000001</v>
      </c>
      <c r="K250" s="59">
        <f>IF(OR(H250="",I250=""),"",ROUND(H250*I250*(1-J250),2))</f>
        <v/>
      </c>
      <c r="L250" s="58" t="n">
        <v>46203</v>
      </c>
      <c r="M250" s="58" t="n">
        <v>46202</v>
      </c>
      <c r="N250" s="60">
        <f>IF(M250="","",MAX(0,M250-L250))</f>
        <v/>
      </c>
      <c r="O250" s="57" t="inlineStr">
        <is>
          <t>Facturée</t>
        </is>
      </c>
      <c r="P250" s="57" t="inlineStr">
        <is>
          <t>U006</t>
        </is>
      </c>
    </row>
    <row r="251" ht="15" customHeight="1" s="34">
      <c r="A251" s="57" t="inlineStr">
        <is>
          <t>CMD-2026-0250</t>
        </is>
      </c>
      <c r="B251" s="57" t="inlineStr">
        <is>
          <t>PO-KRO-25412</t>
        </is>
      </c>
      <c r="C251" s="58" t="n">
        <v>46195</v>
      </c>
      <c r="D251" s="57" t="inlineStr">
        <is>
          <t>E011</t>
        </is>
      </c>
      <c r="E251" s="57">
        <f>IFERROR(INDEX(Entreprises!$B$2:$B$3000,MATCH(D251,Entreprises!$A$2:$A$3000,0)),"")</f>
        <v/>
      </c>
      <c r="F251" s="57" t="inlineStr">
        <is>
          <t>P007</t>
        </is>
      </c>
      <c r="G251" s="57">
        <f>IFERROR(INDEX(Produits!$C$2:$C$3000,MATCH(F251,Produits!$A$2:$A$3000,0)),"")</f>
        <v/>
      </c>
      <c r="H251" s="60" t="n">
        <v>15</v>
      </c>
      <c r="I251" s="59">
        <f>IFERROR(INDEX(Produits!$G$2:$G$3000,MATCH(F251,Produits!$A$2:$A$3000,0)),"")</f>
        <v/>
      </c>
      <c r="J251" s="62" t="n">
        <v>0.06</v>
      </c>
      <c r="K251" s="59">
        <f>IF(OR(H251="",I251=""),"",ROUND(H251*I251*(1-J251),2))</f>
        <v/>
      </c>
      <c r="L251" s="58" t="n">
        <v>46209</v>
      </c>
      <c r="M251" s="58" t="n">
        <v>46209</v>
      </c>
      <c r="N251" s="60">
        <f>IF(M251="","",MAX(0,M251-L251))</f>
        <v/>
      </c>
      <c r="O251" s="57" t="inlineStr">
        <is>
          <t>Facturée</t>
        </is>
      </c>
      <c r="P251" s="57" t="inlineStr">
        <is>
          <t>U003</t>
        </is>
      </c>
    </row>
    <row r="252" ht="15" customHeight="1" s="34">
      <c r="A252" s="57" t="inlineStr">
        <is>
          <t>CMD-2026-0251</t>
        </is>
      </c>
      <c r="B252" s="57" t="inlineStr">
        <is>
          <t>PO-DAN-74779</t>
        </is>
      </c>
      <c r="C252" s="58" t="n">
        <v>46196</v>
      </c>
      <c r="D252" s="57" t="inlineStr">
        <is>
          <t>E026</t>
        </is>
      </c>
      <c r="E252" s="57">
        <f>IFERROR(INDEX(Entreprises!$B$2:$B$3000,MATCH(D252,Entreprises!$A$2:$A$3000,0)),"")</f>
        <v/>
      </c>
      <c r="F252" s="57" t="inlineStr">
        <is>
          <t>P003</t>
        </is>
      </c>
      <c r="G252" s="57">
        <f>IFERROR(INDEX(Produits!$C$2:$C$3000,MATCH(F252,Produits!$A$2:$A$3000,0)),"")</f>
        <v/>
      </c>
      <c r="H252" s="60" t="n">
        <v>387</v>
      </c>
      <c r="I252" s="59">
        <f>IFERROR(INDEX(Produits!$G$2:$G$3000,MATCH(F252,Produits!$A$2:$A$3000,0)),"")</f>
        <v/>
      </c>
      <c r="J252" s="62" t="n">
        <v>0.07000000000000001</v>
      </c>
      <c r="K252" s="59">
        <f>IF(OR(H252="",I252=""),"",ROUND(H252*I252*(1-J252),2))</f>
        <v/>
      </c>
      <c r="L252" s="58" t="n">
        <v>46210</v>
      </c>
      <c r="M252" s="58" t="n">
        <v>46209</v>
      </c>
      <c r="N252" s="60">
        <f>IF(M252="","",MAX(0,M252-L252))</f>
        <v/>
      </c>
      <c r="O252" s="57" t="inlineStr">
        <is>
          <t>Facturée</t>
        </is>
      </c>
      <c r="P252" s="57" t="inlineStr">
        <is>
          <t>U007</t>
        </is>
      </c>
    </row>
    <row r="253" ht="15" customHeight="1" s="34">
      <c r="A253" s="57" t="inlineStr">
        <is>
          <t>CMD-2026-0252</t>
        </is>
      </c>
      <c r="B253" s="57" t="inlineStr">
        <is>
          <t>PO-MOE-73164</t>
        </is>
      </c>
      <c r="C253" s="58" t="n">
        <v>46198</v>
      </c>
      <c r="D253" s="57" t="inlineStr">
        <is>
          <t>E008</t>
        </is>
      </c>
      <c r="E253" s="57">
        <f>IFERROR(INDEX(Entreprises!$B$2:$B$3000,MATCH(D253,Entreprises!$A$2:$A$3000,0)),"")</f>
        <v/>
      </c>
      <c r="F253" s="57" t="inlineStr">
        <is>
          <t>P005</t>
        </is>
      </c>
      <c r="G253" s="57">
        <f>IFERROR(INDEX(Produits!$C$2:$C$3000,MATCH(F253,Produits!$A$2:$A$3000,0)),"")</f>
        <v/>
      </c>
      <c r="H253" s="60" t="n">
        <v>37</v>
      </c>
      <c r="I253" s="59">
        <f>IFERROR(INDEX(Produits!$G$2:$G$3000,MATCH(F253,Produits!$A$2:$A$3000,0)),"")</f>
        <v/>
      </c>
      <c r="J253" s="62" t="n">
        <v>0.07000000000000001</v>
      </c>
      <c r="K253" s="59">
        <f>IF(OR(H253="",I253=""),"",ROUND(H253*I253*(1-J253),2))</f>
        <v/>
      </c>
      <c r="L253" s="58" t="n">
        <v>46212</v>
      </c>
      <c r="M253" s="58" t="n">
        <v>46210</v>
      </c>
      <c r="N253" s="60">
        <f>IF(M253="","",MAX(0,M253-L253))</f>
        <v/>
      </c>
      <c r="O253" s="57" t="inlineStr">
        <is>
          <t>Facturée</t>
        </is>
      </c>
      <c r="P253" s="57" t="inlineStr">
        <is>
          <t>U003</t>
        </is>
      </c>
    </row>
    <row r="254" ht="15" customHeight="1" s="34">
      <c r="A254" s="57" t="inlineStr">
        <is>
          <t>CMD-2026-0253</t>
        </is>
      </c>
      <c r="B254" s="57" t="inlineStr">
        <is>
          <t>PO-INT-62854</t>
        </is>
      </c>
      <c r="C254" s="58" t="n">
        <v>46202</v>
      </c>
      <c r="D254" s="57" t="inlineStr">
        <is>
          <t>E004</t>
        </is>
      </c>
      <c r="E254" s="57">
        <f>IFERROR(INDEX(Entreprises!$B$2:$B$3000,MATCH(D254,Entreprises!$A$2:$A$3000,0)),"")</f>
        <v/>
      </c>
      <c r="F254" s="57" t="inlineStr">
        <is>
          <t>P008</t>
        </is>
      </c>
      <c r="G254" s="57">
        <f>IFERROR(INDEX(Produits!$C$2:$C$3000,MATCH(F254,Produits!$A$2:$A$3000,0)),"")</f>
        <v/>
      </c>
      <c r="H254" s="60" t="n">
        <v>30</v>
      </c>
      <c r="I254" s="59">
        <f>IFERROR(INDEX(Produits!$G$2:$G$3000,MATCH(F254,Produits!$A$2:$A$3000,0)),"")</f>
        <v/>
      </c>
      <c r="J254" s="62" t="n">
        <v>0.05</v>
      </c>
      <c r="K254" s="59">
        <f>IF(OR(H254="",I254=""),"",ROUND(H254*I254*(1-J254),2))</f>
        <v/>
      </c>
      <c r="L254" s="58" t="n">
        <v>46216</v>
      </c>
      <c r="M254" s="58" t="n">
        <v>46216</v>
      </c>
      <c r="N254" s="60">
        <f>IF(M254="","",MAX(0,M254-L254))</f>
        <v/>
      </c>
      <c r="O254" s="57" t="inlineStr">
        <is>
          <t>Facturée</t>
        </is>
      </c>
      <c r="P254" s="57" t="inlineStr">
        <is>
          <t>U002</t>
        </is>
      </c>
    </row>
    <row r="255" ht="15" customHeight="1" s="34">
      <c r="A255" s="57" t="inlineStr">
        <is>
          <t>CMD-2026-0254</t>
        </is>
      </c>
      <c r="B255" s="57" t="inlineStr">
        <is>
          <t>PO-MAI-91053</t>
        </is>
      </c>
      <c r="C255" s="58" t="n">
        <v>46202</v>
      </c>
      <c r="D255" s="57" t="inlineStr">
        <is>
          <t>E018</t>
        </is>
      </c>
      <c r="E255" s="57">
        <f>IFERROR(INDEX(Entreprises!$B$2:$B$3000,MATCH(D255,Entreprises!$A$2:$A$3000,0)),"")</f>
        <v/>
      </c>
      <c r="F255" s="57" t="inlineStr">
        <is>
          <t>P006</t>
        </is>
      </c>
      <c r="G255" s="57">
        <f>IFERROR(INDEX(Produits!$C$2:$C$3000,MATCH(F255,Produits!$A$2:$A$3000,0)),"")</f>
        <v/>
      </c>
      <c r="H255" s="60" t="n">
        <v>7</v>
      </c>
      <c r="I255" s="59">
        <f>IFERROR(INDEX(Produits!$G$2:$G$3000,MATCH(F255,Produits!$A$2:$A$3000,0)),"")</f>
        <v/>
      </c>
      <c r="J255" s="62" t="n">
        <v>0.01</v>
      </c>
      <c r="K255" s="59">
        <f>IF(OR(H255="",I255=""),"",ROUND(H255*I255*(1-J255),2))</f>
        <v/>
      </c>
      <c r="L255" s="58" t="n">
        <v>46216</v>
      </c>
      <c r="M255" s="58" t="n">
        <v>46216</v>
      </c>
      <c r="N255" s="60">
        <f>IF(M255="","",MAX(0,M255-L255))</f>
        <v/>
      </c>
      <c r="O255" s="57" t="inlineStr">
        <is>
          <t>Facturée</t>
        </is>
      </c>
      <c r="P255" s="57" t="inlineStr">
        <is>
          <t>U005</t>
        </is>
      </c>
    </row>
    <row r="256" ht="15" customHeight="1" s="34">
      <c r="A256" s="57" t="inlineStr">
        <is>
          <t>CMD-2026-0255</t>
        </is>
      </c>
      <c r="B256" s="57" t="inlineStr">
        <is>
          <t>PO-PIE-94980</t>
        </is>
      </c>
      <c r="C256" s="58" t="n">
        <v>46202</v>
      </c>
      <c r="D256" s="57" t="inlineStr">
        <is>
          <t>E019</t>
        </is>
      </c>
      <c r="E256" s="57">
        <f>IFERROR(INDEX(Entreprises!$B$2:$B$3000,MATCH(D256,Entreprises!$A$2:$A$3000,0)),"")</f>
        <v/>
      </c>
      <c r="F256" s="57" t="inlineStr">
        <is>
          <t>P001</t>
        </is>
      </c>
      <c r="G256" s="57">
        <f>IFERROR(INDEX(Produits!$C$2:$C$3000,MATCH(F256,Produits!$A$2:$A$3000,0)),"")</f>
        <v/>
      </c>
      <c r="H256" s="60" t="n">
        <v>212</v>
      </c>
      <c r="I256" s="59">
        <f>IFERROR(INDEX(Produits!$G$2:$G$3000,MATCH(F256,Produits!$A$2:$A$3000,0)),"")</f>
        <v/>
      </c>
      <c r="J256" s="62" t="n">
        <v>0.07000000000000001</v>
      </c>
      <c r="K256" s="59">
        <f>IF(OR(H256="",I256=""),"",ROUND(H256*I256*(1-J256),2))</f>
        <v/>
      </c>
      <c r="L256" s="58" t="n">
        <v>46216</v>
      </c>
      <c r="M256" s="58" t="n">
        <v>46216</v>
      </c>
      <c r="N256" s="60">
        <f>IF(M256="","",MAX(0,M256-L256))</f>
        <v/>
      </c>
      <c r="O256" s="57" t="inlineStr">
        <is>
          <t>Facturée</t>
        </is>
      </c>
      <c r="P256" s="57" t="inlineStr">
        <is>
          <t>U005</t>
        </is>
      </c>
    </row>
    <row r="257" ht="15" customHeight="1" s="34">
      <c r="A257" s="57" t="inlineStr">
        <is>
          <t>CMD-2026-0256</t>
        </is>
      </c>
      <c r="B257" s="57" t="inlineStr">
        <is>
          <t>PO-PER-58337</t>
        </is>
      </c>
      <c r="C257" s="58" t="n">
        <v>46209</v>
      </c>
      <c r="D257" s="57" t="inlineStr">
        <is>
          <t>E025</t>
        </is>
      </c>
      <c r="E257" s="57">
        <f>IFERROR(INDEX(Entreprises!$B$2:$B$3000,MATCH(D257,Entreprises!$A$2:$A$3000,0)),"")</f>
        <v/>
      </c>
      <c r="F257" s="57" t="inlineStr">
        <is>
          <t>P006</t>
        </is>
      </c>
      <c r="G257" s="57">
        <f>IFERROR(INDEX(Produits!$C$2:$C$3000,MATCH(F257,Produits!$A$2:$A$3000,0)),"")</f>
        <v/>
      </c>
      <c r="H257" s="60" t="n">
        <v>101</v>
      </c>
      <c r="I257" s="59">
        <f>IFERROR(INDEX(Produits!$G$2:$G$3000,MATCH(F257,Produits!$A$2:$A$3000,0)),"")</f>
        <v/>
      </c>
      <c r="J257" s="62" t="n">
        <v>0.06</v>
      </c>
      <c r="K257" s="59">
        <f>IF(OR(H257="",I257=""),"",ROUND(H257*I257*(1-J257),2))</f>
        <v/>
      </c>
      <c r="L257" s="58" t="n">
        <v>46223</v>
      </c>
      <c r="M257" s="58" t="n">
        <v>46223</v>
      </c>
      <c r="N257" s="60">
        <f>IF(M257="","",MAX(0,M257-L257))</f>
        <v/>
      </c>
      <c r="O257" s="57" t="inlineStr">
        <is>
          <t>Facturée</t>
        </is>
      </c>
      <c r="P257" s="57" t="inlineStr">
        <is>
          <t>U007</t>
        </is>
      </c>
    </row>
    <row r="258" ht="15" customHeight="1" s="34">
      <c r="A258" s="57" t="inlineStr">
        <is>
          <t>CMD-2026-0257</t>
        </is>
      </c>
      <c r="B258" s="57" t="inlineStr">
        <is>
          <t>PO-BON-72611</t>
        </is>
      </c>
      <c r="C258" s="58" t="n">
        <v>46212</v>
      </c>
      <c r="D258" s="57" t="inlineStr">
        <is>
          <t>E001</t>
        </is>
      </c>
      <c r="E258" s="57">
        <f>IFERROR(INDEX(Entreprises!$B$2:$B$3000,MATCH(D258,Entreprises!$A$2:$A$3000,0)),"")</f>
        <v/>
      </c>
      <c r="F258" s="57" t="inlineStr">
        <is>
          <t>P003</t>
        </is>
      </c>
      <c r="G258" s="57">
        <f>IFERROR(INDEX(Produits!$C$2:$C$3000,MATCH(F258,Produits!$A$2:$A$3000,0)),"")</f>
        <v/>
      </c>
      <c r="H258" s="60" t="n">
        <v>202</v>
      </c>
      <c r="I258" s="59">
        <f>IFERROR(INDEX(Produits!$G$2:$G$3000,MATCH(F258,Produits!$A$2:$A$3000,0)),"")</f>
        <v/>
      </c>
      <c r="J258" s="62" t="n">
        <v>0.05</v>
      </c>
      <c r="K258" s="59">
        <f>IF(OR(H258="",I258=""),"",ROUND(H258*I258*(1-J258),2))</f>
        <v/>
      </c>
      <c r="L258" s="58" t="n">
        <v>46226</v>
      </c>
      <c r="M258" s="58" t="n">
        <v>46224</v>
      </c>
      <c r="N258" s="60">
        <f>IF(M258="","",MAX(0,M258-L258))</f>
        <v/>
      </c>
      <c r="O258" s="57" t="inlineStr">
        <is>
          <t>Facturée</t>
        </is>
      </c>
      <c r="P258" s="57" t="inlineStr">
        <is>
          <t>U002</t>
        </is>
      </c>
    </row>
    <row r="259" ht="15" customHeight="1" s="34">
      <c r="A259" s="57" t="inlineStr">
        <is>
          <t>CMD-2026-0258</t>
        </is>
      </c>
      <c r="B259" s="57" t="inlineStr">
        <is>
          <t>PO-BIO-56001</t>
        </is>
      </c>
      <c r="C259" s="58" t="n">
        <v>46213</v>
      </c>
      <c r="D259" s="57" t="inlineStr">
        <is>
          <t>E012</t>
        </is>
      </c>
      <c r="E259" s="57">
        <f>IFERROR(INDEX(Entreprises!$B$2:$B$3000,MATCH(D259,Entreprises!$A$2:$A$3000,0)),"")</f>
        <v/>
      </c>
      <c r="F259" s="57" t="inlineStr">
        <is>
          <t>P004</t>
        </is>
      </c>
      <c r="G259" s="57">
        <f>IFERROR(INDEX(Produits!$C$2:$C$3000,MATCH(F259,Produits!$A$2:$A$3000,0)),"")</f>
        <v/>
      </c>
      <c r="H259" s="60" t="n">
        <v>97</v>
      </c>
      <c r="I259" s="59">
        <f>IFERROR(INDEX(Produits!$G$2:$G$3000,MATCH(F259,Produits!$A$2:$A$3000,0)),"")</f>
        <v/>
      </c>
      <c r="J259" s="62" t="n">
        <v>0.07000000000000001</v>
      </c>
      <c r="K259" s="59">
        <f>IF(OR(H259="",I259=""),"",ROUND(H259*I259*(1-J259),2))</f>
        <v/>
      </c>
      <c r="L259" s="58" t="n">
        <v>46227</v>
      </c>
      <c r="M259" s="58" t="n">
        <v>46227</v>
      </c>
      <c r="N259" s="60">
        <f>IF(M259="","",MAX(0,M259-L259))</f>
        <v/>
      </c>
      <c r="O259" s="57" t="inlineStr">
        <is>
          <t>Facturée</t>
        </is>
      </c>
      <c r="P259" s="57" t="inlineStr">
        <is>
          <t>U004</t>
        </is>
      </c>
    </row>
    <row r="260" ht="15" customHeight="1" s="34">
      <c r="A260" s="57" t="inlineStr">
        <is>
          <t>CMD-2026-0259</t>
        </is>
      </c>
      <c r="B260" s="57" t="inlineStr">
        <is>
          <t>PO-LEG-26782</t>
        </is>
      </c>
      <c r="C260" s="58" t="n">
        <v>46213</v>
      </c>
      <c r="D260" s="57" t="inlineStr">
        <is>
          <t>E021</t>
        </is>
      </c>
      <c r="E260" s="57">
        <f>IFERROR(INDEX(Entreprises!$B$2:$B$3000,MATCH(D260,Entreprises!$A$2:$A$3000,0)),"")</f>
        <v/>
      </c>
      <c r="F260" s="57" t="inlineStr">
        <is>
          <t>P008</t>
        </is>
      </c>
      <c r="G260" s="57">
        <f>IFERROR(INDEX(Produits!$C$2:$C$3000,MATCH(F260,Produits!$A$2:$A$3000,0)),"")</f>
        <v/>
      </c>
      <c r="H260" s="60" t="n">
        <v>70</v>
      </c>
      <c r="I260" s="59">
        <f>IFERROR(INDEX(Produits!$G$2:$G$3000,MATCH(F260,Produits!$A$2:$A$3000,0)),"")</f>
        <v/>
      </c>
      <c r="J260" s="62" t="n">
        <v>0.07000000000000001</v>
      </c>
      <c r="K260" s="59">
        <f>IF(OR(H260="",I260=""),"",ROUND(H260*I260*(1-J260),2))</f>
        <v/>
      </c>
      <c r="L260" s="58" t="n">
        <v>46227</v>
      </c>
      <c r="M260" s="58" t="n">
        <v>46230</v>
      </c>
      <c r="N260" s="60">
        <f>IF(M260="","",MAX(0,M260-L260))</f>
        <v/>
      </c>
      <c r="O260" s="57" t="inlineStr">
        <is>
          <t>Facturée</t>
        </is>
      </c>
      <c r="P260" s="57" t="inlineStr">
        <is>
          <t>U005</t>
        </is>
      </c>
    </row>
    <row r="261" ht="15" customHeight="1" s="34">
      <c r="A261" s="57" t="inlineStr">
        <is>
          <t>CMD-2026-0260</t>
        </is>
      </c>
      <c r="B261" s="57" t="inlineStr">
        <is>
          <t>PO-LAU-22845</t>
        </is>
      </c>
      <c r="C261" s="58" t="n">
        <v>46216</v>
      </c>
      <c r="D261" s="57" t="inlineStr">
        <is>
          <t>E009</t>
        </is>
      </c>
      <c r="E261" s="57">
        <f>IFERROR(INDEX(Entreprises!$B$2:$B$3000,MATCH(D261,Entreprises!$A$2:$A$3000,0)),"")</f>
        <v/>
      </c>
      <c r="F261" s="57" t="inlineStr">
        <is>
          <t>P006</t>
        </is>
      </c>
      <c r="G261" s="57">
        <f>IFERROR(INDEX(Produits!$C$2:$C$3000,MATCH(F261,Produits!$A$2:$A$3000,0)),"")</f>
        <v/>
      </c>
      <c r="H261" s="60" t="n">
        <v>15</v>
      </c>
      <c r="I261" s="59">
        <f>IFERROR(INDEX(Produits!$G$2:$G$3000,MATCH(F261,Produits!$A$2:$A$3000,0)),"")</f>
        <v/>
      </c>
      <c r="J261" s="62" t="n">
        <v>0.04</v>
      </c>
      <c r="K261" s="59">
        <f>IF(OR(H261="",I261=""),"",ROUND(H261*I261*(1-J261),2))</f>
        <v/>
      </c>
      <c r="L261" s="58" t="n">
        <v>46230</v>
      </c>
      <c r="M261" s="58" t="n">
        <v>46230</v>
      </c>
      <c r="N261" s="60">
        <f>IF(M261="","",MAX(0,M261-L261))</f>
        <v/>
      </c>
      <c r="O261" s="57" t="inlineStr">
        <is>
          <t>Facturée</t>
        </is>
      </c>
      <c r="P261" s="57" t="inlineStr">
        <is>
          <t>U003</t>
        </is>
      </c>
    </row>
    <row r="262" ht="15" customHeight="1" s="34">
      <c r="A262" s="57" t="inlineStr">
        <is>
          <t>CMD-2026-0261</t>
        </is>
      </c>
      <c r="B262" s="57" t="inlineStr">
        <is>
          <t>PO-SEB-37865</t>
        </is>
      </c>
      <c r="C262" s="58" t="n">
        <v>46216</v>
      </c>
      <c r="D262" s="57" t="inlineStr">
        <is>
          <t>E014</t>
        </is>
      </c>
      <c r="E262" s="57">
        <f>IFERROR(INDEX(Entreprises!$B$2:$B$3000,MATCH(D262,Entreprises!$A$2:$A$3000,0)),"")</f>
        <v/>
      </c>
      <c r="F262" s="57" t="inlineStr">
        <is>
          <t>P007</t>
        </is>
      </c>
      <c r="G262" s="57">
        <f>IFERROR(INDEX(Produits!$C$2:$C$3000,MATCH(F262,Produits!$A$2:$A$3000,0)),"")</f>
        <v/>
      </c>
      <c r="H262" s="60" t="n">
        <v>103</v>
      </c>
      <c r="I262" s="59">
        <f>IFERROR(INDEX(Produits!$G$2:$G$3000,MATCH(F262,Produits!$A$2:$A$3000,0)),"")</f>
        <v/>
      </c>
      <c r="J262" s="62" t="n">
        <v>0.06</v>
      </c>
      <c r="K262" s="59">
        <f>IF(OR(H262="",I262=""),"",ROUND(H262*I262*(1-J262),2))</f>
        <v/>
      </c>
      <c r="L262" s="58" t="n">
        <v>46230</v>
      </c>
      <c r="M262" s="58" t="n">
        <v>46230</v>
      </c>
      <c r="N262" s="60">
        <f>IF(M262="","",MAX(0,M262-L262))</f>
        <v/>
      </c>
      <c r="O262" s="57" t="inlineStr">
        <is>
          <t>Facturée</t>
        </is>
      </c>
      <c r="P262" s="57" t="inlineStr">
        <is>
          <t>U004</t>
        </is>
      </c>
    </row>
    <row r="263" ht="15" customHeight="1" s="34">
      <c r="A263" s="57" t="inlineStr">
        <is>
          <t>CMD-2026-0262</t>
        </is>
      </c>
      <c r="B263" s="57" t="inlineStr">
        <is>
          <t>PO-GUE-31820</t>
        </is>
      </c>
      <c r="C263" s="58" t="n">
        <v>46220</v>
      </c>
      <c r="D263" s="57" t="inlineStr">
        <is>
          <t>E003</t>
        </is>
      </c>
      <c r="E263" s="57">
        <f>IFERROR(INDEX(Entreprises!$B$2:$B$3000,MATCH(D263,Entreprises!$A$2:$A$3000,0)),"")</f>
        <v/>
      </c>
      <c r="F263" s="57" t="inlineStr">
        <is>
          <t>P004</t>
        </is>
      </c>
      <c r="G263" s="57">
        <f>IFERROR(INDEX(Produits!$C$2:$C$3000,MATCH(F263,Produits!$A$2:$A$3000,0)),"")</f>
        <v/>
      </c>
      <c r="H263" s="60" t="n">
        <v>84</v>
      </c>
      <c r="I263" s="59">
        <f>IFERROR(INDEX(Produits!$G$2:$G$3000,MATCH(F263,Produits!$A$2:$A$3000,0)),"")</f>
        <v/>
      </c>
      <c r="J263" s="62" t="n">
        <v>0.05</v>
      </c>
      <c r="K263" s="59">
        <f>IF(OR(H263="",I263=""),"",ROUND(H263*I263*(1-J263),2))</f>
        <v/>
      </c>
      <c r="L263" s="58" t="n">
        <v>46234</v>
      </c>
      <c r="M263" s="58" t="n">
        <v>46234</v>
      </c>
      <c r="N263" s="60">
        <f>IF(M263="","",MAX(0,M263-L263))</f>
        <v/>
      </c>
      <c r="O263" s="57" t="inlineStr">
        <is>
          <t>Facturée</t>
        </is>
      </c>
      <c r="P263" s="57" t="inlineStr">
        <is>
          <t>U002</t>
        </is>
      </c>
    </row>
    <row r="264" ht="15" customHeight="1" s="34">
      <c r="A264" s="57" t="inlineStr">
        <is>
          <t>CMD-2026-0263</t>
        </is>
      </c>
      <c r="B264" s="57" t="inlineStr">
        <is>
          <t>PO-BOI-39402</t>
        </is>
      </c>
      <c r="C264" s="58" t="n">
        <v>46223</v>
      </c>
      <c r="D264" s="57" t="inlineStr">
        <is>
          <t>E013</t>
        </is>
      </c>
      <c r="E264" s="57">
        <f>IFERROR(INDEX(Entreprises!$B$2:$B$3000,MATCH(D264,Entreprises!$A$2:$A$3000,0)),"")</f>
        <v/>
      </c>
      <c r="F264" s="57" t="inlineStr">
        <is>
          <t>P002</t>
        </is>
      </c>
      <c r="G264" s="57">
        <f>IFERROR(INDEX(Produits!$C$2:$C$3000,MATCH(F264,Produits!$A$2:$A$3000,0)),"")</f>
        <v/>
      </c>
      <c r="H264" s="60" t="n">
        <v>159</v>
      </c>
      <c r="I264" s="59">
        <f>IFERROR(INDEX(Produits!$G$2:$G$3000,MATCH(F264,Produits!$A$2:$A$3000,0)),"")</f>
        <v/>
      </c>
      <c r="J264" s="62" t="n">
        <v>0.04</v>
      </c>
      <c r="K264" s="59">
        <f>IF(OR(H264="",I264=""),"",ROUND(H264*I264*(1-J264),2))</f>
        <v/>
      </c>
      <c r="L264" s="58" t="n">
        <v>46237</v>
      </c>
      <c r="M264" s="58" t="n">
        <v>46238</v>
      </c>
      <c r="N264" s="60">
        <f>IF(M264="","",MAX(0,M264-L264))</f>
        <v/>
      </c>
      <c r="O264" s="57" t="inlineStr">
        <is>
          <t>Facturée</t>
        </is>
      </c>
      <c r="P264" s="57" t="inlineStr">
        <is>
          <t>U004</t>
        </is>
      </c>
    </row>
    <row r="265" ht="15" customHeight="1" s="34">
      <c r="A265" s="57" t="inlineStr">
        <is>
          <t>CMD-2026-0264</t>
        </is>
      </c>
      <c r="B265" s="57" t="inlineStr">
        <is>
          <t>PO-LOR-68341</t>
        </is>
      </c>
      <c r="C265" s="58" t="n">
        <v>46226</v>
      </c>
      <c r="D265" s="57" t="inlineStr">
        <is>
          <t>E027</t>
        </is>
      </c>
      <c r="E265" s="57">
        <f>IFERROR(INDEX(Entreprises!$B$2:$B$3000,MATCH(D265,Entreprises!$A$2:$A$3000,0)),"")</f>
        <v/>
      </c>
      <c r="F265" s="57" t="inlineStr">
        <is>
          <t>P005</t>
        </is>
      </c>
      <c r="G265" s="57">
        <f>IFERROR(INDEX(Produits!$C$2:$C$3000,MATCH(F265,Produits!$A$2:$A$3000,0)),"")</f>
        <v/>
      </c>
      <c r="H265" s="60" t="n">
        <v>73</v>
      </c>
      <c r="I265" s="59">
        <f>IFERROR(INDEX(Produits!$G$2:$G$3000,MATCH(F265,Produits!$A$2:$A$3000,0)),"")</f>
        <v/>
      </c>
      <c r="J265" s="62" t="n">
        <v>0.08</v>
      </c>
      <c r="K265" s="59">
        <f>IF(OR(H265="",I265=""),"",ROUND(H265*I265*(1-J265),2))</f>
        <v/>
      </c>
      <c r="L265" s="58" t="n">
        <v>46240</v>
      </c>
      <c r="M265" s="58" t="n">
        <v>46238</v>
      </c>
      <c r="N265" s="60">
        <f>IF(M265="","",MAX(0,M265-L265))</f>
        <v/>
      </c>
      <c r="O265" s="57" t="inlineStr">
        <is>
          <t>Facturée</t>
        </is>
      </c>
      <c r="P265" s="57" t="inlineStr">
        <is>
          <t>U007</t>
        </is>
      </c>
    </row>
    <row r="266" ht="15" customHeight="1" s="34">
      <c r="A266" s="57" t="inlineStr">
        <is>
          <t>CMD-2026-0265</t>
        </is>
      </c>
      <c r="B266" s="57" t="inlineStr">
        <is>
          <t>PO-SAV-80440</t>
        </is>
      </c>
      <c r="C266" s="58" t="n">
        <v>46230</v>
      </c>
      <c r="D266" s="57" t="inlineStr">
        <is>
          <t>E028</t>
        </is>
      </c>
      <c r="E266" s="57">
        <f>IFERROR(INDEX(Entreprises!$B$2:$B$3000,MATCH(D266,Entreprises!$A$2:$A$3000,0)),"")</f>
        <v/>
      </c>
      <c r="F266" s="57" t="inlineStr">
        <is>
          <t>P003</t>
        </is>
      </c>
      <c r="G266" s="57">
        <f>IFERROR(INDEX(Produits!$C$2:$C$3000,MATCH(F266,Produits!$A$2:$A$3000,0)),"")</f>
        <v/>
      </c>
      <c r="H266" s="60" t="n">
        <v>84</v>
      </c>
      <c r="I266" s="59">
        <f>IFERROR(INDEX(Produits!$G$2:$G$3000,MATCH(F266,Produits!$A$2:$A$3000,0)),"")</f>
        <v/>
      </c>
      <c r="J266" s="62" t="n">
        <v>0.07000000000000001</v>
      </c>
      <c r="K266" s="59">
        <f>IF(OR(H266="",I266=""),"",ROUND(H266*I266*(1-J266),2))</f>
        <v/>
      </c>
      <c r="L266" s="58" t="n">
        <v>46244</v>
      </c>
      <c r="M266" s="58" t="n">
        <v>46247</v>
      </c>
      <c r="N266" s="60">
        <f>IF(M266="","",MAX(0,M266-L266))</f>
        <v/>
      </c>
      <c r="O266" s="57" t="inlineStr">
        <is>
          <t>Facturée</t>
        </is>
      </c>
      <c r="P266" s="57" t="inlineStr">
        <is>
          <t>U007</t>
        </is>
      </c>
    </row>
    <row r="267" ht="15" customHeight="1" s="34">
      <c r="A267" s="57" t="inlineStr">
        <is>
          <t>CMD-2026-0266</t>
        </is>
      </c>
      <c r="B267" s="57" t="inlineStr">
        <is>
          <t>PO-SAN-22334</t>
        </is>
      </c>
      <c r="C267" s="58" t="n">
        <v>46232</v>
      </c>
      <c r="D267" s="57" t="inlineStr">
        <is>
          <t>E022</t>
        </is>
      </c>
      <c r="E267" s="57">
        <f>IFERROR(INDEX(Entreprises!$B$2:$B$3000,MATCH(D267,Entreprises!$A$2:$A$3000,0)),"")</f>
        <v/>
      </c>
      <c r="F267" s="57" t="inlineStr">
        <is>
          <t>P002</t>
        </is>
      </c>
      <c r="G267" s="57">
        <f>IFERROR(INDEX(Produits!$C$2:$C$3000,MATCH(F267,Produits!$A$2:$A$3000,0)),"")</f>
        <v/>
      </c>
      <c r="H267" s="60" t="n">
        <v>961</v>
      </c>
      <c r="I267" s="59">
        <f>IFERROR(INDEX(Produits!$G$2:$G$3000,MATCH(F267,Produits!$A$2:$A$3000,0)),"")</f>
        <v/>
      </c>
      <c r="J267" s="62" t="n">
        <v>0.06</v>
      </c>
      <c r="K267" s="59">
        <f>IF(OR(H267="",I267=""),"",ROUND(H267*I267*(1-J267),2))</f>
        <v/>
      </c>
      <c r="L267" s="58" t="n">
        <v>46246</v>
      </c>
      <c r="M267" s="58" t="n">
        <v>46251</v>
      </c>
      <c r="N267" s="60">
        <f>IF(M267="","",MAX(0,M267-L267))</f>
        <v/>
      </c>
      <c r="O267" s="57" t="inlineStr">
        <is>
          <t>Facturée</t>
        </is>
      </c>
      <c r="P267" s="57" t="inlineStr">
        <is>
          <t>U006</t>
        </is>
      </c>
    </row>
    <row r="268" ht="15" customHeight="1" s="34">
      <c r="A268" s="57" t="inlineStr">
        <is>
          <t>CMD-2026-0267</t>
        </is>
      </c>
      <c r="B268" s="57" t="inlineStr">
        <is>
          <t>PO-SCH-16201</t>
        </is>
      </c>
      <c r="C268" s="58" t="n">
        <v>46233</v>
      </c>
      <c r="D268" s="57" t="inlineStr">
        <is>
          <t>E030</t>
        </is>
      </c>
      <c r="E268" s="57">
        <f>IFERROR(INDEX(Entreprises!$B$2:$B$3000,MATCH(D268,Entreprises!$A$2:$A$3000,0)),"")</f>
        <v/>
      </c>
      <c r="F268" s="57" t="inlineStr">
        <is>
          <t>P007</t>
        </is>
      </c>
      <c r="G268" s="57">
        <f>IFERROR(INDEX(Produits!$C$2:$C$3000,MATCH(F268,Produits!$A$2:$A$3000,0)),"")</f>
        <v/>
      </c>
      <c r="H268" s="60" t="n">
        <v>90</v>
      </c>
      <c r="I268" s="59">
        <f>IFERROR(INDEX(Produits!$G$2:$G$3000,MATCH(F268,Produits!$A$2:$A$3000,0)),"")</f>
        <v/>
      </c>
      <c r="J268" s="62" t="n">
        <v>0.06</v>
      </c>
      <c r="K268" s="59">
        <f>IF(OR(H268="",I268=""),"",ROUND(H268*I268*(1-J268),2))</f>
        <v/>
      </c>
      <c r="L268" s="58" t="n">
        <v>46247</v>
      </c>
      <c r="M268" s="58" t="n">
        <v>46247</v>
      </c>
      <c r="N268" s="60">
        <f>IF(M268="","",MAX(0,M268-L268))</f>
        <v/>
      </c>
      <c r="O268" s="57" t="inlineStr">
        <is>
          <t>Facturée</t>
        </is>
      </c>
      <c r="P268" s="57" t="inlineStr">
        <is>
          <t>U007</t>
        </is>
      </c>
    </row>
    <row r="269" ht="15" customHeight="1" s="34">
      <c r="A269" s="57" t="inlineStr">
        <is>
          <t>CMD-2026-0268</t>
        </is>
      </c>
      <c r="B269" s="57" t="inlineStr">
        <is>
          <t>PO-NEX-75932</t>
        </is>
      </c>
      <c r="C269" s="58" t="n">
        <v>46234</v>
      </c>
      <c r="D269" s="57" t="inlineStr">
        <is>
          <t>E007</t>
        </is>
      </c>
      <c r="E269" s="57">
        <f>IFERROR(INDEX(Entreprises!$B$2:$B$3000,MATCH(D269,Entreprises!$A$2:$A$3000,0)),"")</f>
        <v/>
      </c>
      <c r="F269" s="57" t="inlineStr">
        <is>
          <t>P003</t>
        </is>
      </c>
      <c r="G269" s="57">
        <f>IFERROR(INDEX(Produits!$C$2:$C$3000,MATCH(F269,Produits!$A$2:$A$3000,0)),"")</f>
        <v/>
      </c>
      <c r="H269" s="60" t="n">
        <v>79</v>
      </c>
      <c r="I269" s="59">
        <f>IFERROR(INDEX(Produits!$G$2:$G$3000,MATCH(F269,Produits!$A$2:$A$3000,0)),"")</f>
        <v/>
      </c>
      <c r="J269" s="62" t="n">
        <v>0.07000000000000001</v>
      </c>
      <c r="K269" s="59">
        <f>IF(OR(H269="",I269=""),"",ROUND(H269*I269*(1-J269),2))</f>
        <v/>
      </c>
      <c r="L269" s="58" t="n">
        <v>46248</v>
      </c>
      <c r="M269" s="58" t="n">
        <v>46248</v>
      </c>
      <c r="N269" s="60">
        <f>IF(M269="","",MAX(0,M269-L269))</f>
        <v/>
      </c>
      <c r="O269" s="57" t="inlineStr">
        <is>
          <t>Facturée</t>
        </is>
      </c>
      <c r="P269" s="57" t="inlineStr">
        <is>
          <t>U002</t>
        </is>
      </c>
    </row>
    <row r="270" ht="15" customHeight="1" s="34">
      <c r="A270" s="57" t="inlineStr">
        <is>
          <t>CMD-2026-0269</t>
        </is>
      </c>
      <c r="B270" s="57" t="inlineStr">
        <is>
          <t>PO-KRO-12308</t>
        </is>
      </c>
      <c r="C270" s="58" t="n">
        <v>46237</v>
      </c>
      <c r="D270" s="57" t="inlineStr">
        <is>
          <t>E011</t>
        </is>
      </c>
      <c r="E270" s="57">
        <f>IFERROR(INDEX(Entreprises!$B$2:$B$3000,MATCH(D270,Entreprises!$A$2:$A$3000,0)),"")</f>
        <v/>
      </c>
      <c r="F270" s="57" t="inlineStr">
        <is>
          <t>P007</t>
        </is>
      </c>
      <c r="G270" s="57">
        <f>IFERROR(INDEX(Produits!$C$2:$C$3000,MATCH(F270,Produits!$A$2:$A$3000,0)),"")</f>
        <v/>
      </c>
      <c r="H270" s="60" t="n">
        <v>25</v>
      </c>
      <c r="I270" s="59">
        <f>IFERROR(INDEX(Produits!$G$2:$G$3000,MATCH(F270,Produits!$A$2:$A$3000,0)),"")</f>
        <v/>
      </c>
      <c r="J270" s="62" t="n">
        <v>0.07000000000000001</v>
      </c>
      <c r="K270" s="59">
        <f>IF(OR(H270="",I270=""),"",ROUND(H270*I270*(1-J270),2))</f>
        <v/>
      </c>
      <c r="L270" s="58" t="n">
        <v>46251</v>
      </c>
      <c r="M270" s="58" t="n">
        <v>46253</v>
      </c>
      <c r="N270" s="60">
        <f>IF(M270="","",MAX(0,M270-L270))</f>
        <v/>
      </c>
      <c r="O270" s="57" t="inlineStr">
        <is>
          <t>Facturée</t>
        </is>
      </c>
      <c r="P270" s="57" t="inlineStr">
        <is>
          <t>U003</t>
        </is>
      </c>
    </row>
    <row r="271" ht="15" customHeight="1" s="34">
      <c r="A271" s="57" t="inlineStr">
        <is>
          <t>CMD-2026-0270</t>
        </is>
      </c>
      <c r="B271" s="57" t="inlineStr">
        <is>
          <t>PO-REM-92970</t>
        </is>
      </c>
      <c r="C271" s="58" t="n">
        <v>46240</v>
      </c>
      <c r="D271" s="57" t="inlineStr">
        <is>
          <t>E017</t>
        </is>
      </c>
      <c r="E271" s="57">
        <f>IFERROR(INDEX(Entreprises!$B$2:$B$3000,MATCH(D271,Entreprises!$A$2:$A$3000,0)),"")</f>
        <v/>
      </c>
      <c r="F271" s="57" t="inlineStr">
        <is>
          <t>P006</t>
        </is>
      </c>
      <c r="G271" s="57">
        <f>IFERROR(INDEX(Produits!$C$2:$C$3000,MATCH(F271,Produits!$A$2:$A$3000,0)),"")</f>
        <v/>
      </c>
      <c r="H271" s="60" t="n">
        <v>22</v>
      </c>
      <c r="I271" s="59">
        <f>IFERROR(INDEX(Produits!$G$2:$G$3000,MATCH(F271,Produits!$A$2:$A$3000,0)),"")</f>
        <v/>
      </c>
      <c r="J271" s="62" t="n">
        <v>0.06</v>
      </c>
      <c r="K271" s="59">
        <f>IF(OR(H271="",I271=""),"",ROUND(H271*I271*(1-J271),2))</f>
        <v/>
      </c>
      <c r="L271" s="58" t="n">
        <v>46254</v>
      </c>
      <c r="M271" s="58" t="n">
        <v>46258</v>
      </c>
      <c r="N271" s="60">
        <f>IF(M271="","",MAX(0,M271-L271))</f>
        <v/>
      </c>
      <c r="O271" s="57" t="inlineStr">
        <is>
          <t>Facturée</t>
        </is>
      </c>
      <c r="P271" s="57" t="inlineStr">
        <is>
          <t>U005</t>
        </is>
      </c>
    </row>
    <row r="272" ht="15" customHeight="1" s="34">
      <c r="A272" s="57" t="inlineStr">
        <is>
          <t>CMD-2026-0271</t>
        </is>
      </c>
      <c r="B272" s="57" t="inlineStr">
        <is>
          <t>PO-INT-82721</t>
        </is>
      </c>
      <c r="C272" s="58" t="n">
        <v>46246</v>
      </c>
      <c r="D272" s="57" t="inlineStr">
        <is>
          <t>E004</t>
        </is>
      </c>
      <c r="E272" s="57">
        <f>IFERROR(INDEX(Entreprises!$B$2:$B$3000,MATCH(D272,Entreprises!$A$2:$A$3000,0)),"")</f>
        <v/>
      </c>
      <c r="F272" s="57" t="inlineStr">
        <is>
          <t>P008</t>
        </is>
      </c>
      <c r="G272" s="57">
        <f>IFERROR(INDEX(Produits!$C$2:$C$3000,MATCH(F272,Produits!$A$2:$A$3000,0)),"")</f>
        <v/>
      </c>
      <c r="H272" s="60" t="n">
        <v>36</v>
      </c>
      <c r="I272" s="59">
        <f>IFERROR(INDEX(Produits!$G$2:$G$3000,MATCH(F272,Produits!$A$2:$A$3000,0)),"")</f>
        <v/>
      </c>
      <c r="J272" s="62" t="n">
        <v>0.05</v>
      </c>
      <c r="K272" s="59">
        <f>IF(OR(H272="",I272=""),"",ROUND(H272*I272*(1-J272),2))</f>
        <v/>
      </c>
      <c r="L272" s="58" t="n">
        <v>46260</v>
      </c>
      <c r="M272" s="58" t="n">
        <v>46259</v>
      </c>
      <c r="N272" s="60">
        <f>IF(M272="","",MAX(0,M272-L272))</f>
        <v/>
      </c>
      <c r="O272" s="57" t="inlineStr">
        <is>
          <t>Facturée</t>
        </is>
      </c>
      <c r="P272" s="57" t="inlineStr">
        <is>
          <t>U002</t>
        </is>
      </c>
    </row>
    <row r="273" ht="15" customHeight="1" s="34">
      <c r="A273" s="57" t="inlineStr">
        <is>
          <t>CMD-2026-0272</t>
        </is>
      </c>
      <c r="B273" s="57" t="inlineStr">
        <is>
          <t>PO-IPS-68253</t>
        </is>
      </c>
      <c r="C273" s="58" t="n">
        <v>46246</v>
      </c>
      <c r="D273" s="57" t="inlineStr">
        <is>
          <t>E023</t>
        </is>
      </c>
      <c r="E273" s="57">
        <f>IFERROR(INDEX(Entreprises!$B$2:$B$3000,MATCH(D273,Entreprises!$A$2:$A$3000,0)),"")</f>
        <v/>
      </c>
      <c r="F273" s="57" t="inlineStr">
        <is>
          <t>P004</t>
        </is>
      </c>
      <c r="G273" s="57">
        <f>IFERROR(INDEX(Produits!$C$2:$C$3000,MATCH(F273,Produits!$A$2:$A$3000,0)),"")</f>
        <v/>
      </c>
      <c r="H273" s="60" t="n">
        <v>113</v>
      </c>
      <c r="I273" s="59">
        <f>IFERROR(INDEX(Produits!$G$2:$G$3000,MATCH(F273,Produits!$A$2:$A$3000,0)),"")</f>
        <v/>
      </c>
      <c r="J273" s="62" t="n">
        <v>0.06</v>
      </c>
      <c r="K273" s="59">
        <f>IF(OR(H273="",I273=""),"",ROUND(H273*I273*(1-J273),2))</f>
        <v/>
      </c>
      <c r="L273" s="58" t="n">
        <v>46260</v>
      </c>
      <c r="M273" s="58" t="n">
        <v>46262</v>
      </c>
      <c r="N273" s="60">
        <f>IF(M273="","",MAX(0,M273-L273))</f>
        <v/>
      </c>
      <c r="O273" s="57" t="inlineStr">
        <is>
          <t>Facturée</t>
        </is>
      </c>
      <c r="P273" s="57" t="inlineStr">
        <is>
          <t>U006</t>
        </is>
      </c>
    </row>
    <row r="274" ht="15" customHeight="1" s="34">
      <c r="A274" s="57" t="inlineStr">
        <is>
          <t>CMD-2026-0273</t>
        </is>
      </c>
      <c r="B274" s="57" t="inlineStr">
        <is>
          <t>PO-MOE-40226</t>
        </is>
      </c>
      <c r="C274" s="58" t="n">
        <v>46247</v>
      </c>
      <c r="D274" s="57" t="inlineStr">
        <is>
          <t>E008</t>
        </is>
      </c>
      <c r="E274" s="57">
        <f>IFERROR(INDEX(Entreprises!$B$2:$B$3000,MATCH(D274,Entreprises!$A$2:$A$3000,0)),"")</f>
        <v/>
      </c>
      <c r="F274" s="57" t="inlineStr">
        <is>
          <t>P005</t>
        </is>
      </c>
      <c r="G274" s="57">
        <f>IFERROR(INDEX(Produits!$C$2:$C$3000,MATCH(F274,Produits!$A$2:$A$3000,0)),"")</f>
        <v/>
      </c>
      <c r="H274" s="60" t="n">
        <v>37</v>
      </c>
      <c r="I274" s="59">
        <f>IFERROR(INDEX(Produits!$G$2:$G$3000,MATCH(F274,Produits!$A$2:$A$3000,0)),"")</f>
        <v/>
      </c>
      <c r="J274" s="62" t="n">
        <v>0.06</v>
      </c>
      <c r="K274" s="59">
        <f>IF(OR(H274="",I274=""),"",ROUND(H274*I274*(1-J274),2))</f>
        <v/>
      </c>
      <c r="L274" s="58" t="n">
        <v>46261</v>
      </c>
      <c r="M274" s="58" t="n">
        <v>46261</v>
      </c>
      <c r="N274" s="60">
        <f>IF(M274="","",MAX(0,M274-L274))</f>
        <v/>
      </c>
      <c r="O274" s="57" t="inlineStr">
        <is>
          <t>Facturée</t>
        </is>
      </c>
      <c r="P274" s="57" t="inlineStr">
        <is>
          <t>U003</t>
        </is>
      </c>
    </row>
    <row r="275" ht="15" customHeight="1" s="34">
      <c r="A275" s="57" t="inlineStr">
        <is>
          <t>CMD-2026-0274</t>
        </is>
      </c>
      <c r="B275" s="57" t="inlineStr">
        <is>
          <t>PO-LES-17985</t>
        </is>
      </c>
      <c r="C275" s="58" t="n">
        <v>46258</v>
      </c>
      <c r="D275" s="57" t="inlineStr">
        <is>
          <t>E002</t>
        </is>
      </c>
      <c r="E275" s="57">
        <f>IFERROR(INDEX(Entreprises!$B$2:$B$3000,MATCH(D275,Entreprises!$A$2:$A$3000,0)),"")</f>
        <v/>
      </c>
      <c r="F275" s="57" t="inlineStr">
        <is>
          <t>P003</t>
        </is>
      </c>
      <c r="G275" s="57">
        <f>IFERROR(INDEX(Produits!$C$2:$C$3000,MATCH(F275,Produits!$A$2:$A$3000,0)),"")</f>
        <v/>
      </c>
      <c r="H275" s="60" t="n">
        <v>103</v>
      </c>
      <c r="I275" s="59">
        <f>IFERROR(INDEX(Produits!$G$2:$G$3000,MATCH(F275,Produits!$A$2:$A$3000,0)),"")</f>
        <v/>
      </c>
      <c r="J275" s="62" t="n">
        <v>0.06</v>
      </c>
      <c r="K275" s="59">
        <f>IF(OR(H275="",I275=""),"",ROUND(H275*I275*(1-J275),2))</f>
        <v/>
      </c>
      <c r="L275" s="58" t="n">
        <v>46272</v>
      </c>
      <c r="M275" s="58" t="n">
        <v>46273</v>
      </c>
      <c r="N275" s="60">
        <f>IF(M275="","",MAX(0,M275-L275))</f>
        <v/>
      </c>
      <c r="O275" s="57" t="inlineStr">
        <is>
          <t>Facturée</t>
        </is>
      </c>
      <c r="P275" s="57" t="inlineStr">
        <is>
          <t>U002</t>
        </is>
      </c>
    </row>
    <row r="276" ht="15" customHeight="1" s="34">
      <c r="A276" s="57" t="inlineStr">
        <is>
          <t>CMD-2026-0275</t>
        </is>
      </c>
      <c r="B276" s="57" t="inlineStr">
        <is>
          <t>PO-BIO-72585</t>
        </is>
      </c>
      <c r="C276" s="58" t="n">
        <v>46258</v>
      </c>
      <c r="D276" s="57" t="inlineStr">
        <is>
          <t>E012</t>
        </is>
      </c>
      <c r="E276" s="57">
        <f>IFERROR(INDEX(Entreprises!$B$2:$B$3000,MATCH(D276,Entreprises!$A$2:$A$3000,0)),"")</f>
        <v/>
      </c>
      <c r="F276" s="57" t="inlineStr">
        <is>
          <t>P003</t>
        </is>
      </c>
      <c r="G276" s="57">
        <f>IFERROR(INDEX(Produits!$C$2:$C$3000,MATCH(F276,Produits!$A$2:$A$3000,0)),"")</f>
        <v/>
      </c>
      <c r="H276" s="60" t="n">
        <v>140</v>
      </c>
      <c r="I276" s="59">
        <f>IFERROR(INDEX(Produits!$G$2:$G$3000,MATCH(F276,Produits!$A$2:$A$3000,0)),"")</f>
        <v/>
      </c>
      <c r="J276" s="62" t="n">
        <v>0.06</v>
      </c>
      <c r="K276" s="59">
        <f>IF(OR(H276="",I276=""),"",ROUND(H276*I276*(1-J276),2))</f>
        <v/>
      </c>
      <c r="L276" s="58" t="n">
        <v>46272</v>
      </c>
      <c r="M276" s="58" t="n">
        <v>46274</v>
      </c>
      <c r="N276" s="60">
        <f>IF(M276="","",MAX(0,M276-L276))</f>
        <v/>
      </c>
      <c r="O276" s="57" t="inlineStr">
        <is>
          <t>Facturée</t>
        </is>
      </c>
      <c r="P276" s="57" t="inlineStr">
        <is>
          <t>U004</t>
        </is>
      </c>
    </row>
    <row r="277" ht="15" customHeight="1" s="34">
      <c r="A277" s="57" t="inlineStr">
        <is>
          <t>CMD-2026-0276</t>
        </is>
      </c>
      <c r="B277" s="57" t="inlineStr">
        <is>
          <t>PO-DAN-13485</t>
        </is>
      </c>
      <c r="C277" s="58" t="n">
        <v>46261</v>
      </c>
      <c r="D277" s="57" t="inlineStr">
        <is>
          <t>E026</t>
        </is>
      </c>
      <c r="E277" s="57">
        <f>IFERROR(INDEX(Entreprises!$B$2:$B$3000,MATCH(D277,Entreprises!$A$2:$A$3000,0)),"")</f>
        <v/>
      </c>
      <c r="F277" s="57" t="inlineStr">
        <is>
          <t>P007</t>
        </is>
      </c>
      <c r="G277" s="57">
        <f>IFERROR(INDEX(Produits!$C$2:$C$3000,MATCH(F277,Produits!$A$2:$A$3000,0)),"")</f>
        <v/>
      </c>
      <c r="H277" s="60" t="n">
        <v>136</v>
      </c>
      <c r="I277" s="59">
        <f>IFERROR(INDEX(Produits!$G$2:$G$3000,MATCH(F277,Produits!$A$2:$A$3000,0)),"")</f>
        <v/>
      </c>
      <c r="J277" s="62" t="n">
        <v>0.07000000000000001</v>
      </c>
      <c r="K277" s="59">
        <f>IF(OR(H277="",I277=""),"",ROUND(H277*I277*(1-J277),2))</f>
        <v/>
      </c>
      <c r="L277" s="58" t="n">
        <v>46275</v>
      </c>
      <c r="M277" s="58" t="n">
        <v>46276</v>
      </c>
      <c r="N277" s="60">
        <f>IF(M277="","",MAX(0,M277-L277))</f>
        <v/>
      </c>
      <c r="O277" s="57" t="inlineStr">
        <is>
          <t>Livrée</t>
        </is>
      </c>
      <c r="P277" s="57" t="inlineStr">
        <is>
          <t>U007</t>
        </is>
      </c>
    </row>
    <row r="278" ht="15" customHeight="1" s="34">
      <c r="A278" s="57" t="inlineStr">
        <is>
          <t>CMD-2026-0277</t>
        </is>
      </c>
      <c r="B278" s="57" t="inlineStr">
        <is>
          <t>PO-MAI-46403</t>
        </is>
      </c>
      <c r="C278" s="58" t="n">
        <v>46262</v>
      </c>
      <c r="D278" s="57" t="inlineStr">
        <is>
          <t>E018</t>
        </is>
      </c>
      <c r="E278" s="57">
        <f>IFERROR(INDEX(Entreprises!$B$2:$B$3000,MATCH(D278,Entreprises!$A$2:$A$3000,0)),"")</f>
        <v/>
      </c>
      <c r="F278" s="57" t="inlineStr">
        <is>
          <t>P006</t>
        </is>
      </c>
      <c r="G278" s="57">
        <f>IFERROR(INDEX(Produits!$C$2:$C$3000,MATCH(F278,Produits!$A$2:$A$3000,0)),"")</f>
        <v/>
      </c>
      <c r="H278" s="60" t="n">
        <v>5</v>
      </c>
      <c r="I278" s="59">
        <f>IFERROR(INDEX(Produits!$G$2:$G$3000,MATCH(F278,Produits!$A$2:$A$3000,0)),"")</f>
        <v/>
      </c>
      <c r="J278" s="62" t="n">
        <v>0.02</v>
      </c>
      <c r="K278" s="59">
        <f>IF(OR(H278="",I278=""),"",ROUND(H278*I278*(1-J278),2))</f>
        <v/>
      </c>
      <c r="L278" s="58" t="n">
        <v>46276</v>
      </c>
      <c r="M278" s="58" t="n">
        <v>46276</v>
      </c>
      <c r="N278" s="60">
        <f>IF(M278="","",MAX(0,M278-L278))</f>
        <v/>
      </c>
      <c r="O278" s="57" t="inlineStr">
        <is>
          <t>Livrée</t>
        </is>
      </c>
      <c r="P278" s="57" t="inlineStr">
        <is>
          <t>U005</t>
        </is>
      </c>
    </row>
    <row r="279" ht="15" customHeight="1" s="34">
      <c r="A279" s="57" t="inlineStr">
        <is>
          <t>CMD-2026-0278</t>
        </is>
      </c>
      <c r="B279" s="57" t="inlineStr">
        <is>
          <t>PO-PIE-65618</t>
        </is>
      </c>
      <c r="C279" s="58" t="n">
        <v>46265</v>
      </c>
      <c r="D279" s="57" t="inlineStr">
        <is>
          <t>E019</t>
        </is>
      </c>
      <c r="E279" s="57">
        <f>IFERROR(INDEX(Entreprises!$B$2:$B$3000,MATCH(D279,Entreprises!$A$2:$A$3000,0)),"")</f>
        <v/>
      </c>
      <c r="F279" s="57" t="inlineStr">
        <is>
          <t>P001</t>
        </is>
      </c>
      <c r="G279" s="57">
        <f>IFERROR(INDEX(Produits!$C$2:$C$3000,MATCH(F279,Produits!$A$2:$A$3000,0)),"")</f>
        <v/>
      </c>
      <c r="H279" s="60" t="n">
        <v>213</v>
      </c>
      <c r="I279" s="59">
        <f>IFERROR(INDEX(Produits!$G$2:$G$3000,MATCH(F279,Produits!$A$2:$A$3000,0)),"")</f>
        <v/>
      </c>
      <c r="J279" s="62" t="n">
        <v>0.06</v>
      </c>
      <c r="K279" s="59">
        <f>IF(OR(H279="",I279=""),"",ROUND(H279*I279*(1-J279),2))</f>
        <v/>
      </c>
      <c r="L279" s="58" t="n">
        <v>46279</v>
      </c>
      <c r="M279" s="58" t="n">
        <v>46279</v>
      </c>
      <c r="N279" s="60">
        <f>IF(M279="","",MAX(0,M279-L279))</f>
        <v/>
      </c>
      <c r="O279" s="57" t="inlineStr">
        <is>
          <t>Livrée</t>
        </is>
      </c>
      <c r="P279" s="57" t="inlineStr">
        <is>
          <t>U005</t>
        </is>
      </c>
    </row>
    <row r="280" ht="15" customHeight="1" s="34">
      <c r="A280" s="57" t="inlineStr">
        <is>
          <t>CMD-2026-0279</t>
        </is>
      </c>
      <c r="B280" s="57" t="inlineStr">
        <is>
          <t>PO-BON-23015</t>
        </is>
      </c>
      <c r="C280" s="58" t="n">
        <v>46266</v>
      </c>
      <c r="D280" s="57" t="inlineStr">
        <is>
          <t>E001</t>
        </is>
      </c>
      <c r="E280" s="57">
        <f>IFERROR(INDEX(Entreprises!$B$2:$B$3000,MATCH(D280,Entreprises!$A$2:$A$3000,0)),"")</f>
        <v/>
      </c>
      <c r="F280" s="57" t="inlineStr">
        <is>
          <t>P003</t>
        </is>
      </c>
      <c r="G280" s="57">
        <f>IFERROR(INDEX(Produits!$C$2:$C$3000,MATCH(F280,Produits!$A$2:$A$3000,0)),"")</f>
        <v/>
      </c>
      <c r="H280" s="60" t="n">
        <v>48</v>
      </c>
      <c r="I280" s="59">
        <f>IFERROR(INDEX(Produits!$G$2:$G$3000,MATCH(F280,Produits!$A$2:$A$3000,0)),"")</f>
        <v/>
      </c>
      <c r="J280" s="62" t="n">
        <v>0.06</v>
      </c>
      <c r="K280" s="59">
        <f>IF(OR(H280="",I280=""),"",ROUND(H280*I280*(1-J280),2))</f>
        <v/>
      </c>
      <c r="L280" s="58" t="n">
        <v>46280</v>
      </c>
      <c r="M280" s="58" t="n">
        <v>46289</v>
      </c>
      <c r="N280" s="60">
        <f>IF(M280="","",MAX(0,M280-L280))</f>
        <v/>
      </c>
      <c r="O280" s="57" t="inlineStr">
        <is>
          <t>Livrée</t>
        </is>
      </c>
      <c r="P280" s="57" t="inlineStr">
        <is>
          <t>U002</t>
        </is>
      </c>
    </row>
    <row r="281" ht="15" customHeight="1" s="34">
      <c r="A281" s="57" t="inlineStr">
        <is>
          <t>CMD-2026-0280</t>
        </is>
      </c>
      <c r="B281" s="57" t="inlineStr">
        <is>
          <t>PO-LEG-96268</t>
        </is>
      </c>
      <c r="C281" s="58" t="n">
        <v>46266</v>
      </c>
      <c r="D281" s="57" t="inlineStr">
        <is>
          <t>E021</t>
        </is>
      </c>
      <c r="E281" s="57">
        <f>IFERROR(INDEX(Entreprises!$B$2:$B$3000,MATCH(D281,Entreprises!$A$2:$A$3000,0)),"")</f>
        <v/>
      </c>
      <c r="F281" s="57" t="inlineStr">
        <is>
          <t>P007</t>
        </is>
      </c>
      <c r="G281" s="57">
        <f>IFERROR(INDEX(Produits!$C$2:$C$3000,MATCH(F281,Produits!$A$2:$A$3000,0)),"")</f>
        <v/>
      </c>
      <c r="H281" s="60" t="n">
        <v>57</v>
      </c>
      <c r="I281" s="59">
        <f>IFERROR(INDEX(Produits!$G$2:$G$3000,MATCH(F281,Produits!$A$2:$A$3000,0)),"")</f>
        <v/>
      </c>
      <c r="J281" s="62" t="n">
        <v>0.06</v>
      </c>
      <c r="K281" s="59">
        <f>IF(OR(H281="",I281=""),"",ROUND(H281*I281*(1-J281),2))</f>
        <v/>
      </c>
      <c r="L281" s="58" t="n">
        <v>46280</v>
      </c>
      <c r="M281" s="58" t="n">
        <v>46279</v>
      </c>
      <c r="N281" s="60">
        <f>IF(M281="","",MAX(0,M281-L281))</f>
        <v/>
      </c>
      <c r="O281" s="57" t="inlineStr">
        <is>
          <t>Livrée</t>
        </is>
      </c>
      <c r="P281" s="57" t="inlineStr">
        <is>
          <t>U005</t>
        </is>
      </c>
    </row>
    <row r="282" ht="15" customHeight="1" s="34">
      <c r="A282" s="57" t="inlineStr">
        <is>
          <t>CMD-2026-0281</t>
        </is>
      </c>
      <c r="B282" s="57" t="inlineStr">
        <is>
          <t>PO-LAU-41693</t>
        </is>
      </c>
      <c r="C282" s="58" t="n">
        <v>46272</v>
      </c>
      <c r="D282" s="57" t="inlineStr">
        <is>
          <t>E009</t>
        </is>
      </c>
      <c r="E282" s="57">
        <f>IFERROR(INDEX(Entreprises!$B$2:$B$3000,MATCH(D282,Entreprises!$A$2:$A$3000,0)),"")</f>
        <v/>
      </c>
      <c r="F282" s="57" t="inlineStr">
        <is>
          <t>P006</t>
        </is>
      </c>
      <c r="G282" s="57">
        <f>IFERROR(INDEX(Produits!$C$2:$C$3000,MATCH(F282,Produits!$A$2:$A$3000,0)),"")</f>
        <v/>
      </c>
      <c r="H282" s="60" t="n">
        <v>12</v>
      </c>
      <c r="I282" s="59">
        <f>IFERROR(INDEX(Produits!$G$2:$G$3000,MATCH(F282,Produits!$A$2:$A$3000,0)),"")</f>
        <v/>
      </c>
      <c r="J282" s="62" t="n">
        <v>0.04</v>
      </c>
      <c r="K282" s="59">
        <f>IF(OR(H282="",I282=""),"",ROUND(H282*I282*(1-J282),2))</f>
        <v/>
      </c>
      <c r="L282" s="58" t="n">
        <v>46286</v>
      </c>
      <c r="M282" s="58" t="n">
        <v>46288</v>
      </c>
      <c r="N282" s="60">
        <f>IF(M282="","",MAX(0,M282-L282))</f>
        <v/>
      </c>
      <c r="O282" s="57" t="inlineStr">
        <is>
          <t>Livrée</t>
        </is>
      </c>
      <c r="P282" s="57" t="inlineStr">
        <is>
          <t>U003</t>
        </is>
      </c>
    </row>
    <row r="283" ht="15" customHeight="1" s="34">
      <c r="A283" s="57" t="inlineStr">
        <is>
          <t>CMD-2026-0282</t>
        </is>
      </c>
      <c r="B283" s="57" t="inlineStr">
        <is>
          <t>PO-SAV-17292</t>
        </is>
      </c>
      <c r="C283" s="58" t="n">
        <v>46272</v>
      </c>
      <c r="D283" s="57" t="inlineStr">
        <is>
          <t>E028</t>
        </is>
      </c>
      <c r="E283" s="57">
        <f>IFERROR(INDEX(Entreprises!$B$2:$B$3000,MATCH(D283,Entreprises!$A$2:$A$3000,0)),"")</f>
        <v/>
      </c>
      <c r="F283" s="57" t="inlineStr">
        <is>
          <t>P003</t>
        </is>
      </c>
      <c r="G283" s="57">
        <f>IFERROR(INDEX(Produits!$C$2:$C$3000,MATCH(F283,Produits!$A$2:$A$3000,0)),"")</f>
        <v/>
      </c>
      <c r="H283" s="60" t="n">
        <v>92</v>
      </c>
      <c r="I283" s="59">
        <f>IFERROR(INDEX(Produits!$G$2:$G$3000,MATCH(F283,Produits!$A$2:$A$3000,0)),"")</f>
        <v/>
      </c>
      <c r="J283" s="62" t="n">
        <v>0.07000000000000001</v>
      </c>
      <c r="K283" s="59">
        <f>IF(OR(H283="",I283=""),"",ROUND(H283*I283*(1-J283),2))</f>
        <v/>
      </c>
      <c r="L283" s="58" t="n">
        <v>46286</v>
      </c>
      <c r="M283" s="58" t="n">
        <v>46286</v>
      </c>
      <c r="N283" s="60">
        <f>IF(M283="","",MAX(0,M283-L283))</f>
        <v/>
      </c>
      <c r="O283" s="57" t="inlineStr">
        <is>
          <t>Livrée</t>
        </is>
      </c>
      <c r="P283" s="57" t="inlineStr">
        <is>
          <t>U007</t>
        </is>
      </c>
    </row>
    <row r="284" ht="15" customHeight="1" s="34">
      <c r="A284" s="57" t="inlineStr">
        <is>
          <t>CMD-2026-0283</t>
        </is>
      </c>
      <c r="B284" s="57" t="inlineStr">
        <is>
          <t>PO-REM-21706</t>
        </is>
      </c>
      <c r="C284" s="58" t="n">
        <v>46280</v>
      </c>
      <c r="D284" s="57" t="inlineStr">
        <is>
          <t>E017</t>
        </is>
      </c>
      <c r="E284" s="57">
        <f>IFERROR(INDEX(Entreprises!$B$2:$B$3000,MATCH(D284,Entreprises!$A$2:$A$3000,0)),"")</f>
        <v/>
      </c>
      <c r="F284" s="57" t="inlineStr">
        <is>
          <t>P006</t>
        </is>
      </c>
      <c r="G284" s="57">
        <f>IFERROR(INDEX(Produits!$C$2:$C$3000,MATCH(F284,Produits!$A$2:$A$3000,0)),"")</f>
        <v/>
      </c>
      <c r="H284" s="60" t="n">
        <v>33</v>
      </c>
      <c r="I284" s="59">
        <f>IFERROR(INDEX(Produits!$G$2:$G$3000,MATCH(F284,Produits!$A$2:$A$3000,0)),"")</f>
        <v/>
      </c>
      <c r="J284" s="62" t="n">
        <v>0.07000000000000001</v>
      </c>
      <c r="K284" s="59">
        <f>IF(OR(H284="",I284=""),"",ROUND(H284*I284*(1-J284),2))</f>
        <v/>
      </c>
      <c r="L284" s="58" t="n">
        <v>46294</v>
      </c>
      <c r="M284" s="58" t="n">
        <v>46294</v>
      </c>
      <c r="N284" s="60">
        <f>IF(M284="","",MAX(0,M284-L284))</f>
        <v/>
      </c>
      <c r="O284" s="57" t="inlineStr">
        <is>
          <t>Livrée</t>
        </is>
      </c>
      <c r="P284" s="57" t="inlineStr">
        <is>
          <t>U005</t>
        </is>
      </c>
    </row>
    <row r="285" ht="15" customHeight="1" s="34">
      <c r="A285" s="57" t="inlineStr">
        <is>
          <t>CMD-2026-0284</t>
        </is>
      </c>
      <c r="B285" s="57" t="inlineStr">
        <is>
          <t>PO-BOI-12974</t>
        </is>
      </c>
      <c r="C285" s="58" t="n">
        <v>46283</v>
      </c>
      <c r="D285" s="57" t="inlineStr">
        <is>
          <t>E013</t>
        </is>
      </c>
      <c r="E285" s="57">
        <f>IFERROR(INDEX(Entreprises!$B$2:$B$3000,MATCH(D285,Entreprises!$A$2:$A$3000,0)),"")</f>
        <v/>
      </c>
      <c r="F285" s="57" t="inlineStr">
        <is>
          <t>P001</t>
        </is>
      </c>
      <c r="G285" s="57">
        <f>IFERROR(INDEX(Produits!$C$2:$C$3000,MATCH(F285,Produits!$A$2:$A$3000,0)),"")</f>
        <v/>
      </c>
      <c r="H285" s="60" t="n">
        <v>85</v>
      </c>
      <c r="I285" s="59">
        <f>IFERROR(INDEX(Produits!$G$2:$G$3000,MATCH(F285,Produits!$A$2:$A$3000,0)),"")</f>
        <v/>
      </c>
      <c r="J285" s="62" t="n">
        <v>0.03</v>
      </c>
      <c r="K285" s="59">
        <f>IF(OR(H285="",I285=""),"",ROUND(H285*I285*(1-J285),2))</f>
        <v/>
      </c>
      <c r="L285" s="58" t="n">
        <v>46297</v>
      </c>
      <c r="M285" s="58" t="n">
        <v>46300</v>
      </c>
      <c r="N285" s="60">
        <f>IF(M285="","",MAX(0,M285-L285))</f>
        <v/>
      </c>
      <c r="O285" s="57" t="inlineStr">
        <is>
          <t>Livrée</t>
        </is>
      </c>
      <c r="P285" s="57" t="inlineStr">
        <is>
          <t>U004</t>
        </is>
      </c>
    </row>
    <row r="286" ht="15" customHeight="1" s="34">
      <c r="A286" s="57" t="inlineStr">
        <is>
          <t>CMD-2026-0285</t>
        </is>
      </c>
      <c r="B286" s="57" t="inlineStr">
        <is>
          <t>PO-GUE-48689</t>
        </is>
      </c>
      <c r="C286" s="58" t="n">
        <v>46286</v>
      </c>
      <c r="D286" s="57" t="inlineStr">
        <is>
          <t>E003</t>
        </is>
      </c>
      <c r="E286" s="57">
        <f>IFERROR(INDEX(Entreprises!$B$2:$B$3000,MATCH(D286,Entreprises!$A$2:$A$3000,0)),"")</f>
        <v/>
      </c>
      <c r="F286" s="57" t="inlineStr">
        <is>
          <t>P004</t>
        </is>
      </c>
      <c r="G286" s="57">
        <f>IFERROR(INDEX(Produits!$C$2:$C$3000,MATCH(F286,Produits!$A$2:$A$3000,0)),"")</f>
        <v/>
      </c>
      <c r="H286" s="60" t="n">
        <v>70</v>
      </c>
      <c r="I286" s="59">
        <f>IFERROR(INDEX(Produits!$G$2:$G$3000,MATCH(F286,Produits!$A$2:$A$3000,0)),"")</f>
        <v/>
      </c>
      <c r="J286" s="62" t="n">
        <v>0.04</v>
      </c>
      <c r="K286" s="59">
        <f>IF(OR(H286="",I286=""),"",ROUND(H286*I286*(1-J286),2))</f>
        <v/>
      </c>
      <c r="L286" s="58" t="n">
        <v>46300</v>
      </c>
      <c r="M286" s="58" t="n">
        <v>46303</v>
      </c>
      <c r="N286" s="60">
        <f>IF(M286="","",MAX(0,M286-L286))</f>
        <v/>
      </c>
      <c r="O286" s="57" t="inlineStr">
        <is>
          <t>Livrée</t>
        </is>
      </c>
      <c r="P286" s="57" t="inlineStr">
        <is>
          <t>U002</t>
        </is>
      </c>
    </row>
    <row r="287" ht="15" customHeight="1" s="34">
      <c r="A287" s="57" t="inlineStr">
        <is>
          <t>CMD-2026-0286</t>
        </is>
      </c>
      <c r="B287" s="57" t="inlineStr">
        <is>
          <t>PO-PER-89908</t>
        </is>
      </c>
      <c r="C287" s="58" t="n">
        <v>46286</v>
      </c>
      <c r="D287" s="57" t="inlineStr">
        <is>
          <t>E025</t>
        </is>
      </c>
      <c r="E287" s="57">
        <f>IFERROR(INDEX(Entreprises!$B$2:$B$3000,MATCH(D287,Entreprises!$A$2:$A$3000,0)),"")</f>
        <v/>
      </c>
      <c r="F287" s="57" t="inlineStr">
        <is>
          <t>P006</t>
        </is>
      </c>
      <c r="G287" s="57">
        <f>IFERROR(INDEX(Produits!$C$2:$C$3000,MATCH(F287,Produits!$A$2:$A$3000,0)),"")</f>
        <v/>
      </c>
      <c r="H287" s="60" t="n">
        <v>88</v>
      </c>
      <c r="I287" s="59">
        <f>IFERROR(INDEX(Produits!$G$2:$G$3000,MATCH(F287,Produits!$A$2:$A$3000,0)),"")</f>
        <v/>
      </c>
      <c r="J287" s="62" t="n">
        <v>0.05</v>
      </c>
      <c r="K287" s="59">
        <f>IF(OR(H287="",I287=""),"",ROUND(H287*I287*(1-J287),2))</f>
        <v/>
      </c>
      <c r="L287" s="58" t="n">
        <v>46300</v>
      </c>
      <c r="M287" s="58" t="n">
        <v>46300</v>
      </c>
      <c r="N287" s="60">
        <f>IF(M287="","",MAX(0,M287-L287))</f>
        <v/>
      </c>
      <c r="O287" s="57" t="inlineStr">
        <is>
          <t>Livrée</t>
        </is>
      </c>
      <c r="P287" s="57" t="inlineStr">
        <is>
          <t>U007</t>
        </is>
      </c>
    </row>
    <row r="288" ht="15" customHeight="1" s="34">
      <c r="A288" s="57" t="inlineStr">
        <is>
          <t>CMD-2026-0287</t>
        </is>
      </c>
      <c r="B288" s="57" t="inlineStr">
        <is>
          <t>PO-SEB-25664</t>
        </is>
      </c>
      <c r="C288" s="58" t="n">
        <v>46293</v>
      </c>
      <c r="D288" s="57" t="inlineStr">
        <is>
          <t>E014</t>
        </is>
      </c>
      <c r="E288" s="57">
        <f>IFERROR(INDEX(Entreprises!$B$2:$B$3000,MATCH(D288,Entreprises!$A$2:$A$3000,0)),"")</f>
        <v/>
      </c>
      <c r="F288" s="57" t="inlineStr">
        <is>
          <t>P007</t>
        </is>
      </c>
      <c r="G288" s="57">
        <f>IFERROR(INDEX(Produits!$C$2:$C$3000,MATCH(F288,Produits!$A$2:$A$3000,0)),"")</f>
        <v/>
      </c>
      <c r="H288" s="60" t="n">
        <v>64</v>
      </c>
      <c r="I288" s="59">
        <f>IFERROR(INDEX(Produits!$G$2:$G$3000,MATCH(F288,Produits!$A$2:$A$3000,0)),"")</f>
        <v/>
      </c>
      <c r="J288" s="62" t="n">
        <v>0.05</v>
      </c>
      <c r="K288" s="59">
        <f>IF(OR(H288="",I288=""),"",ROUND(H288*I288*(1-J288),2))</f>
        <v/>
      </c>
      <c r="L288" s="58" t="n">
        <v>46307</v>
      </c>
      <c r="M288" s="58" t="n"/>
      <c r="N288" s="60">
        <f>IF(M288="","",MAX(0,M288-L288))</f>
        <v/>
      </c>
      <c r="O288" s="57" t="inlineStr">
        <is>
          <t>En cours de livraison</t>
        </is>
      </c>
      <c r="P288" s="57" t="inlineStr">
        <is>
          <t>U004</t>
        </is>
      </c>
    </row>
    <row r="289" ht="15" customHeight="1" s="34">
      <c r="A289" s="57" t="inlineStr">
        <is>
          <t>CMD-2026-0288</t>
        </is>
      </c>
      <c r="B289" s="57" t="inlineStr">
        <is>
          <t>PO-BON-82999</t>
        </is>
      </c>
      <c r="C289" s="58" t="n">
        <v>46296</v>
      </c>
      <c r="D289" s="57" t="inlineStr">
        <is>
          <t>E001</t>
        </is>
      </c>
      <c r="E289" s="57">
        <f>IFERROR(INDEX(Entreprises!$B$2:$B$3000,MATCH(D289,Entreprises!$A$2:$A$3000,0)),"")</f>
        <v/>
      </c>
      <c r="F289" s="57" t="inlineStr">
        <is>
          <t>P003</t>
        </is>
      </c>
      <c r="G289" s="57">
        <f>IFERROR(INDEX(Produits!$C$2:$C$3000,MATCH(F289,Produits!$A$2:$A$3000,0)),"")</f>
        <v/>
      </c>
      <c r="H289" s="60" t="n">
        <v>45</v>
      </c>
      <c r="I289" s="59">
        <f>IFERROR(INDEX(Produits!$G$2:$G$3000,MATCH(F289,Produits!$A$2:$A$3000,0)),"")</f>
        <v/>
      </c>
      <c r="J289" s="62" t="n">
        <v>0.06</v>
      </c>
      <c r="K289" s="59">
        <f>IF(OR(H289="",I289=""),"",ROUND(H289*I289*(1-J289),2))</f>
        <v/>
      </c>
      <c r="L289" s="58" t="n">
        <v>46309</v>
      </c>
      <c r="M289" s="58" t="n"/>
      <c r="N289" s="60">
        <f>IF(M289="","",MAX(0,M289-L289))</f>
        <v/>
      </c>
      <c r="O289" s="57" t="inlineStr">
        <is>
          <t>En cours de livraison</t>
        </is>
      </c>
      <c r="P289" s="57" t="inlineStr">
        <is>
          <t>U002</t>
        </is>
      </c>
    </row>
    <row r="290" ht="15" customHeight="1" s="34">
      <c r="A290" s="57" t="inlineStr">
        <is>
          <t>CMD-2026-0289</t>
        </is>
      </c>
      <c r="B290" s="57" t="inlineStr">
        <is>
          <t>PO-MOE-42329</t>
        </is>
      </c>
      <c r="C290" s="58" t="n">
        <v>46296</v>
      </c>
      <c r="D290" s="57" t="inlineStr">
        <is>
          <t>E008</t>
        </is>
      </c>
      <c r="E290" s="57">
        <f>IFERROR(INDEX(Entreprises!$B$2:$B$3000,MATCH(D290,Entreprises!$A$2:$A$3000,0)),"")</f>
        <v/>
      </c>
      <c r="F290" s="57" t="inlineStr">
        <is>
          <t>P006</t>
        </is>
      </c>
      <c r="G290" s="57">
        <f>IFERROR(INDEX(Produits!$C$2:$C$3000,MATCH(F290,Produits!$A$2:$A$3000,0)),"")</f>
        <v/>
      </c>
      <c r="H290" s="60" t="n">
        <v>65</v>
      </c>
      <c r="I290" s="59">
        <f>IFERROR(INDEX(Produits!$G$2:$G$3000,MATCH(F290,Produits!$A$2:$A$3000,0)),"")</f>
        <v/>
      </c>
      <c r="J290" s="62" t="n">
        <v>0.07000000000000001</v>
      </c>
      <c r="K290" s="59">
        <f>IF(OR(H290="",I290=""),"",ROUND(H290*I290*(1-J290),2))</f>
        <v/>
      </c>
      <c r="L290" s="58" t="n">
        <v>46310</v>
      </c>
      <c r="M290" s="58" t="n"/>
      <c r="N290" s="60">
        <f>IF(M290="","",MAX(0,M290-L290))</f>
        <v/>
      </c>
      <c r="O290" s="57" t="inlineStr">
        <is>
          <t>En cours de livraison</t>
        </is>
      </c>
      <c r="P290" s="57" t="inlineStr">
        <is>
          <t>U003</t>
        </is>
      </c>
    </row>
    <row r="291" ht="15" customHeight="1" s="34">
      <c r="A291" s="57" t="inlineStr">
        <is>
          <t>CMD-2026-0290</t>
        </is>
      </c>
      <c r="B291" s="57" t="inlineStr">
        <is>
          <t>PO-SAN-59608</t>
        </is>
      </c>
      <c r="C291" s="58" t="n">
        <v>46297</v>
      </c>
      <c r="D291" s="57" t="inlineStr">
        <is>
          <t>E022</t>
        </is>
      </c>
      <c r="E291" s="57">
        <f>IFERROR(INDEX(Entreprises!$B$2:$B$3000,MATCH(D291,Entreprises!$A$2:$A$3000,0)),"")</f>
        <v/>
      </c>
      <c r="F291" s="57" t="inlineStr">
        <is>
          <t>P004</t>
        </is>
      </c>
      <c r="G291" s="57">
        <f>IFERROR(INDEX(Produits!$C$2:$C$3000,MATCH(F291,Produits!$A$2:$A$3000,0)),"")</f>
        <v/>
      </c>
      <c r="H291" s="60" t="n">
        <v>263</v>
      </c>
      <c r="I291" s="59">
        <f>IFERROR(INDEX(Produits!$G$2:$G$3000,MATCH(F291,Produits!$A$2:$A$3000,0)),"")</f>
        <v/>
      </c>
      <c r="J291" s="62" t="n">
        <v>0.06</v>
      </c>
      <c r="K291" s="59">
        <f>IF(OR(H291="",I291=""),"",ROUND(H291*I291*(1-J291),2))</f>
        <v/>
      </c>
      <c r="L291" s="58" t="n">
        <v>46311</v>
      </c>
      <c r="M291" s="58" t="n"/>
      <c r="N291" s="60">
        <f>IF(M291="","",MAX(0,M291-L291))</f>
        <v/>
      </c>
      <c r="O291" s="57" t="inlineStr">
        <is>
          <t>En cours de livraison</t>
        </is>
      </c>
      <c r="P291" s="57" t="inlineStr">
        <is>
          <t>U006</t>
        </is>
      </c>
    </row>
    <row r="292" ht="15" customHeight="1" s="34">
      <c r="A292" s="57" t="inlineStr">
        <is>
          <t>CMD-2026-0291</t>
        </is>
      </c>
      <c r="B292" s="57" t="inlineStr">
        <is>
          <t>PO-LOR-74973</t>
        </is>
      </c>
      <c r="C292" s="58" t="n">
        <v>46297</v>
      </c>
      <c r="D292" s="57" t="inlineStr">
        <is>
          <t>E027</t>
        </is>
      </c>
      <c r="E292" s="57">
        <f>IFERROR(INDEX(Entreprises!$B$2:$B$3000,MATCH(D292,Entreprises!$A$2:$A$3000,0)),"")</f>
        <v/>
      </c>
      <c r="F292" s="57" t="inlineStr">
        <is>
          <t>P005</t>
        </is>
      </c>
      <c r="G292" s="57">
        <f>IFERROR(INDEX(Produits!$C$2:$C$3000,MATCH(F292,Produits!$A$2:$A$3000,0)),"")</f>
        <v/>
      </c>
      <c r="H292" s="60" t="n">
        <v>64</v>
      </c>
      <c r="I292" s="59">
        <f>IFERROR(INDEX(Produits!$G$2:$G$3000,MATCH(F292,Produits!$A$2:$A$3000,0)),"")</f>
        <v/>
      </c>
      <c r="J292" s="62" t="n">
        <v>0.07000000000000001</v>
      </c>
      <c r="K292" s="59">
        <f>IF(OR(H292="",I292=""),"",ROUND(H292*I292*(1-J292),2))</f>
        <v/>
      </c>
      <c r="L292" s="58" t="n">
        <v>46311</v>
      </c>
      <c r="M292" s="58" t="n"/>
      <c r="N292" s="60">
        <f>IF(M292="","",MAX(0,M292-L292))</f>
        <v/>
      </c>
      <c r="O292" s="57" t="inlineStr">
        <is>
          <t>En cours de livraison</t>
        </is>
      </c>
      <c r="P292" s="57" t="inlineStr">
        <is>
          <t>U007</t>
        </is>
      </c>
    </row>
    <row r="293" ht="15" customHeight="1" s="34">
      <c r="A293" s="57" t="inlineStr">
        <is>
          <t>CMD-2026-0292</t>
        </is>
      </c>
      <c r="B293" s="57" t="inlineStr">
        <is>
          <t>PO-LES-21028</t>
        </is>
      </c>
      <c r="C293" s="58" t="n">
        <v>46300</v>
      </c>
      <c r="D293" s="57" t="inlineStr">
        <is>
          <t>E002</t>
        </is>
      </c>
      <c r="E293" s="57">
        <f>IFERROR(INDEX(Entreprises!$B$2:$B$3000,MATCH(D293,Entreprises!$A$2:$A$3000,0)),"")</f>
        <v/>
      </c>
      <c r="F293" s="57" t="inlineStr">
        <is>
          <t>P003</t>
        </is>
      </c>
      <c r="G293" s="57">
        <f>IFERROR(INDEX(Produits!$C$2:$C$3000,MATCH(F293,Produits!$A$2:$A$3000,0)),"")</f>
        <v/>
      </c>
      <c r="H293" s="60" t="n">
        <v>136</v>
      </c>
      <c r="I293" s="59">
        <f>IFERROR(INDEX(Produits!$G$2:$G$3000,MATCH(F293,Produits!$A$2:$A$3000,0)),"")</f>
        <v/>
      </c>
      <c r="J293" s="62" t="n">
        <v>0.07000000000000001</v>
      </c>
      <c r="K293" s="59">
        <f>IF(OR(H293="",I293=""),"",ROUND(H293*I293*(1-J293),2))</f>
        <v/>
      </c>
      <c r="L293" s="58" t="n">
        <v>46314</v>
      </c>
      <c r="M293" s="58" t="n"/>
      <c r="N293" s="60">
        <f>IF(M293="","",MAX(0,M293-L293))</f>
        <v/>
      </c>
      <c r="O293" s="57" t="inlineStr">
        <is>
          <t>En cours de livraison</t>
        </is>
      </c>
      <c r="P293" s="57" t="inlineStr">
        <is>
          <t>U002</t>
        </is>
      </c>
    </row>
    <row r="294" ht="15" customHeight="1" s="34">
      <c r="A294" s="57" t="inlineStr">
        <is>
          <t>CMD-2026-0293</t>
        </is>
      </c>
      <c r="B294" s="57" t="inlineStr">
        <is>
          <t>PO-INT-94524</t>
        </is>
      </c>
      <c r="C294" s="58" t="n">
        <v>46300</v>
      </c>
      <c r="D294" s="57" t="inlineStr">
        <is>
          <t>E004</t>
        </is>
      </c>
      <c r="E294" s="57">
        <f>IFERROR(INDEX(Entreprises!$B$2:$B$3000,MATCH(D294,Entreprises!$A$2:$A$3000,0)),"")</f>
        <v/>
      </c>
      <c r="F294" s="57" t="inlineStr">
        <is>
          <t>P008</t>
        </is>
      </c>
      <c r="G294" s="57">
        <f>IFERROR(INDEX(Produits!$C$2:$C$3000,MATCH(F294,Produits!$A$2:$A$3000,0)),"")</f>
        <v/>
      </c>
      <c r="H294" s="60" t="n">
        <v>42</v>
      </c>
      <c r="I294" s="59">
        <f>IFERROR(INDEX(Produits!$G$2:$G$3000,MATCH(F294,Produits!$A$2:$A$3000,0)),"")</f>
        <v/>
      </c>
      <c r="J294" s="62" t="n">
        <v>0.04</v>
      </c>
      <c r="K294" s="59">
        <f>IF(OR(H294="",I294=""),"",ROUND(H294*I294*(1-J294),2))</f>
        <v/>
      </c>
      <c r="L294" s="58" t="n">
        <v>46314</v>
      </c>
      <c r="M294" s="58" t="n"/>
      <c r="N294" s="60">
        <f>IF(M294="","",MAX(0,M294-L294))</f>
        <v/>
      </c>
      <c r="O294" s="57" t="inlineStr">
        <is>
          <t>En cours de livraison</t>
        </is>
      </c>
      <c r="P294" s="57" t="inlineStr">
        <is>
          <t>U002</t>
        </is>
      </c>
    </row>
    <row r="295" ht="15" customHeight="1" s="34">
      <c r="A295" s="57" t="inlineStr">
        <is>
          <t>CMD-2026-0294</t>
        </is>
      </c>
      <c r="B295" s="57" t="inlineStr">
        <is>
          <t>PO-NEX-67974</t>
        </is>
      </c>
      <c r="C295" s="58" t="n">
        <v>46300</v>
      </c>
      <c r="D295" s="57" t="inlineStr">
        <is>
          <t>E007</t>
        </is>
      </c>
      <c r="E295" s="57">
        <f>IFERROR(INDEX(Entreprises!$B$2:$B$3000,MATCH(D295,Entreprises!$A$2:$A$3000,0)),"")</f>
        <v/>
      </c>
      <c r="F295" s="57" t="inlineStr">
        <is>
          <t>P003</t>
        </is>
      </c>
      <c r="G295" s="57">
        <f>IFERROR(INDEX(Produits!$C$2:$C$3000,MATCH(F295,Produits!$A$2:$A$3000,0)),"")</f>
        <v/>
      </c>
      <c r="H295" s="60" t="n">
        <v>82</v>
      </c>
      <c r="I295" s="59">
        <f>IFERROR(INDEX(Produits!$G$2:$G$3000,MATCH(F295,Produits!$A$2:$A$3000,0)),"")</f>
        <v/>
      </c>
      <c r="J295" s="62" t="n">
        <v>0.06</v>
      </c>
      <c r="K295" s="59">
        <f>IF(OR(H295="",I295=""),"",ROUND(H295*I295*(1-J295),2))</f>
        <v/>
      </c>
      <c r="L295" s="58" t="n">
        <v>46314</v>
      </c>
      <c r="M295" s="58" t="n"/>
      <c r="N295" s="60">
        <f>IF(M295="","",MAX(0,M295-L295))</f>
        <v/>
      </c>
      <c r="O295" s="57" t="inlineStr">
        <is>
          <t>En cours de livraison</t>
        </is>
      </c>
      <c r="P295" s="57" t="inlineStr">
        <is>
          <t>U002</t>
        </is>
      </c>
    </row>
  </sheetData>
  <dataValidations count="4">
    <dataValidation sqref="O2:O495" showDropDown="0" showInputMessage="0" showErrorMessage="1" allowBlank="1" errorTitle="Valeur non autorisée" error="Choisissez une valeur dans la liste." type="list" errorStyle="stop" operator="between">
      <formula1>Paramètres!$P$7:$P$9</formula1>
      <formula2>0</formula2>
    </dataValidation>
    <dataValidation sqref="D2:D495" showDropDown="0" showInputMessage="0" showErrorMessage="1" allowBlank="1" errorTitle="Valeur non autorisée" error="Choisissez une valeur dans la liste." type="list" errorStyle="stop" operator="between">
      <formula1>Entreprises!$A$2:$A$3000</formula1>
      <formula2>0</formula2>
    </dataValidation>
    <dataValidation sqref="F2:F495" showDropDown="0" showInputMessage="0" showErrorMessage="1" allowBlank="1" errorTitle="Valeur non autorisée" error="Choisissez une valeur dans la liste." type="list" errorStyle="stop" operator="between">
      <formula1>Produits!$A$2:$A$3000</formula1>
      <formula2>0</formula2>
    </dataValidation>
    <dataValidation sqref="P2:P495" showDropDown="0" showInputMessage="0" showErrorMessage="1" allowBlank="1" errorTitle="Valeur non autorisée" error="Choisissez une valeur dans la liste." type="list" errorStyle="stop" operator="between">
      <formula1>Commerciaux!$A$2:$A$3000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2026-10-09T12:23:31Z</dcterms:created>
  <dcterms:modified xmlns:dcterms="http://purl.org/dc/terms/" xmlns:xsi="http://www.w3.org/2001/XMLSchema-instance" xsi:type="dcterms:W3CDTF">2026-10-15T07:44:09Z</dcterms:modified>
  <cp:revision>0</cp:revision>
</cp:coreProperties>
</file>